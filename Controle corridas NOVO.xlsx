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Base!$A$1:$H$124</definedName>
    <definedName name="_xlnm.Print_Area" localSheetId="0">Base!$A$1:$F$123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109" i="1" l="1"/>
  <c r="G109" i="1"/>
  <c r="H108" i="1"/>
  <c r="G108" i="1"/>
  <c r="H110" i="1"/>
  <c r="G110" i="1"/>
  <c r="H94" i="1"/>
  <c r="G94" i="1"/>
  <c r="H112" i="1"/>
  <c r="G112" i="1"/>
  <c r="H93" i="1"/>
  <c r="G93" i="1"/>
  <c r="H7" i="1"/>
  <c r="G7" i="1"/>
  <c r="H97" i="1"/>
  <c r="G97" i="1"/>
  <c r="H104" i="1"/>
  <c r="G104" i="1"/>
  <c r="H5" i="1"/>
  <c r="H4" i="1"/>
  <c r="H8" i="1"/>
  <c r="H2" i="1"/>
  <c r="H6" i="1"/>
  <c r="H9" i="1"/>
  <c r="H10" i="1"/>
  <c r="H11" i="1"/>
  <c r="H13" i="1"/>
  <c r="H15" i="1"/>
  <c r="H16" i="1"/>
  <c r="H17" i="1"/>
  <c r="H18" i="1"/>
  <c r="H28" i="1"/>
  <c r="H19" i="1"/>
  <c r="H20" i="1"/>
  <c r="H21" i="1"/>
  <c r="H22" i="1"/>
  <c r="H23" i="1"/>
  <c r="H24" i="1"/>
  <c r="H25" i="1"/>
  <c r="H26" i="1"/>
  <c r="H27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5" i="1"/>
  <c r="H96" i="1"/>
  <c r="H98" i="1"/>
  <c r="H99" i="1"/>
  <c r="H100" i="1"/>
  <c r="H101" i="1"/>
  <c r="H102" i="1"/>
  <c r="H103" i="1"/>
  <c r="H105" i="1"/>
  <c r="H106" i="1"/>
  <c r="H107" i="1"/>
  <c r="H111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G5" i="1"/>
  <c r="G4" i="1"/>
  <c r="G8" i="1"/>
  <c r="G2" i="1"/>
  <c r="G6" i="1"/>
  <c r="G9" i="1"/>
  <c r="G10" i="1"/>
  <c r="G11" i="1"/>
  <c r="G13" i="1"/>
  <c r="G15" i="1"/>
  <c r="G16" i="1"/>
  <c r="G17" i="1"/>
  <c r="G18" i="1"/>
  <c r="G28" i="1"/>
  <c r="G19" i="1"/>
  <c r="G20" i="1"/>
  <c r="G21" i="1"/>
  <c r="G22" i="1"/>
  <c r="G23" i="1"/>
  <c r="G24" i="1"/>
  <c r="G25" i="1"/>
  <c r="G26" i="1"/>
  <c r="G27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5" i="1"/>
  <c r="G96" i="1"/>
  <c r="G98" i="1"/>
  <c r="G99" i="1"/>
  <c r="G100" i="1"/>
  <c r="G101" i="1"/>
  <c r="G102" i="1"/>
  <c r="G103" i="1"/>
  <c r="G105" i="1"/>
  <c r="G106" i="1"/>
  <c r="G107" i="1"/>
  <c r="G111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4" i="1"/>
  <c r="G12" i="1"/>
  <c r="H14" i="1"/>
  <c r="H12" i="1"/>
  <c r="H3" i="1" l="1"/>
  <c r="G3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<sst xmlns="http://schemas.openxmlformats.org/spreadsheetml/2006/main" count="501" uniqueCount="295">
  <si>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</si>
  <si>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</si>
  <si>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</si>
  <si>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</si>
  <si>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</si>
  <si>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</si>
  <si>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</si>
  <si>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</si>
  <si>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</si>
  <si>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</si>
  <si>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</si>
  <si>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</si>
  <si>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</si>
  <si>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</si>
  <si>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</si>
  <si>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</si>
  <si>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</si>
  <si>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</si>
  <si>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</si>
  <si>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</si>
  <si>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</si>
  <si>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</si>
  <si>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</si>
  <si>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</si>
  <si>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</si>
  <si>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</si>
  <si>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</si>
  <si>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</si>
  <si>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</si>
  <si>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</si>
  <si>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</si>
  <si>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</si>
  <si>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</si>
  <si>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</si>
  <si>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</si>
  <si>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</si>
  <si>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</si>
  <si>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</si>
  <si>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</si>
  <si>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</si>
  <si>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</si>
  <si>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</si>
  <si>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</si>
  <si>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</si>
  <si>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</si>
  <si>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</si>
  <si>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</si>
  <si>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</si>
  <si>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</si>
  <si>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</si>
  <si>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</si>
  <si>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</si>
  <si>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</si>
  <si>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</si>
  <si>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</si>
  <si>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</si>
  <si>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</si>
  <si>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</si>
  <si>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</si>
  <si>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</si>
  <si>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</si>
  <si>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</si>
  <si>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</si>
  <si>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</si>
  <si>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</si>
  <si>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</si>
  <si>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</si>
  <si>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</si>
  <si>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</si>
  <si>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</si>
  <si>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</si>
  <si>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</si>
  <si>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</si>
  <si>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</si>
  <si>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</si>
  <si>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</si>
  <si>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</si>
  <si>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</si>
  <si>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</si>
  <si>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</si>
  <si>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</si>
  <si>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</si>
  <si>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</si>
  <si>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</si>
  <si>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</si>
  <si>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</si>
  <si>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</si>
  <si>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</si>
  <si>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</si>
  <si>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</si>
  <si>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</si>
  <si>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</si>
  <si>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</si>
  <si>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</si>
  <si>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</si>
  <si>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</si>
  <si>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</si>
  <si>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</si>
  <si>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</si>
  <si>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</si>
  <si>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</si>
  <si>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</si>
  <si>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</si>
  <si>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</si>
  <si>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</si>
  <si>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</si>
  <si>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</si>
  <si>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LIMITE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</si>
  <si>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</si>
  <si>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</si>
  <si>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</si>
  <si>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</si>
  <si>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</si>
  <si>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</si>
  <si>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</si>
  <si>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</si>
  <si>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</si>
  <si>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</si>
  <si>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</si>
  <si>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</si>
  <si>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</si>
  <si>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</si>
  <si>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</si>
  <si>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</si>
  <si>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</si>
  <si>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</si>
  <si>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</si>
  <si>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</si>
  <si>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</si>
  <si>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</si>
  <si>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</si>
  <si>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</si>
  <si>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</si>
  <si>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</si>
  <si>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</si>
  <si>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</si>
  <si>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</si>
  <si>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</si>
  <si>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</si>
  <si>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</si>
  <si>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</si>
  <si>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</si>
  <si>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</si>
  <si>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</si>
  <si>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</si>
  <si>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</si>
  <si>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</si>
  <si>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</si>
  <si>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</si>
  <si>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</si>
  <si>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</si>
  <si>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</si>
  <si>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</si>
  <si>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</si>
  <si>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</si>
  <si>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</si>
  <si>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</si>
  <si>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</si>
  <si>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</si>
  <si>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</si>
  <si>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</si>
  <si>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</si>
  <si>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</si>
  <si>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</si>
  <si>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</si>
  <si>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</si>
  <si>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</si>
  <si>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</si>
  <si>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</si>
  <si>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</si>
  <si>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</si>
  <si>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</si>
  <si>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</si>
  <si>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</si>
  <si>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</si>
  <si>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</si>
  <si>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</si>
  <si>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</si>
  <si>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21815-050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</si>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</sst>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22"/>
  <sheetViews>
    <sheetView tabSelected="1" workbookViewId="0">
      <selection sqref="A1:H124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4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205</v>
      </c>
    </row>
    <row r="2" spans="1:8" ht="12.5" x14ac:dyDescent="0.25">
      <c r="A2" s="32">
        <v>13</v>
      </c>
      <c r="B2" s="33" t="s">
        <v>279</v>
      </c>
      <c r="C2" s="34">
        <v>13</v>
      </c>
      <c r="D2" s="32" t="s">
        <v>22</v>
      </c>
      <c r="E2" s="33" t="s">
        <v>276</v>
      </c>
      <c r="F2" s="32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2">
        <v>13</v>
      </c>
      <c r="B3" s="33" t="s">
        <v>27</v>
      </c>
      <c r="C3" s="34">
        <v>13</v>
      </c>
      <c r="D3" s="32" t="s">
        <v>28</v>
      </c>
      <c r="E3" s="33" t="s">
        <v>8</v>
      </c>
      <c r="F3" s="32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2">
        <v>13</v>
      </c>
      <c r="B4" s="33" t="s">
        <v>281</v>
      </c>
      <c r="C4" s="34">
        <v>13</v>
      </c>
      <c r="D4" s="32" t="s">
        <v>22</v>
      </c>
      <c r="E4" s="33" t="s">
        <v>276</v>
      </c>
      <c r="F4" s="32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2">
        <v>13</v>
      </c>
      <c r="B5" s="33" t="s">
        <v>282</v>
      </c>
      <c r="C5" s="34">
        <v>13</v>
      </c>
      <c r="D5" s="32" t="s">
        <v>22</v>
      </c>
      <c r="E5" s="33" t="s">
        <v>276</v>
      </c>
      <c r="F5" s="32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2">
        <v>13</v>
      </c>
      <c r="B6" s="33" t="s">
        <v>24</v>
      </c>
      <c r="C6" s="34">
        <v>13</v>
      </c>
      <c r="D6" s="32" t="s">
        <v>25</v>
      </c>
      <c r="E6" s="33" t="s">
        <v>8</v>
      </c>
      <c r="F6" s="32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2">
        <v>13</v>
      </c>
      <c r="B7" s="33" t="s">
        <v>280</v>
      </c>
      <c r="C7" s="34">
        <v>13</v>
      </c>
      <c r="D7" s="32" t="s">
        <v>22</v>
      </c>
      <c r="E7" s="33" t="s">
        <v>276</v>
      </c>
      <c r="F7" s="32" t="s">
        <v>26</v>
      </c>
      <c r="G7" s="29" t="str">
        <f>IF(Consulta!$B$1="", "", IF(OR(IFERROR(SEARCH(Consulta!$B$1,B7),0)&gt;0,IFERROR(SEARCH(Consulta!$B$1,E7),0)&gt;0,IFERROR(SEARCH(Consulta!$B$1,F7),0)&gt;0), MAX($G$1:G5)+1, ""))</f>
        <v/>
      </c>
      <c r="H7" s="21" t="b">
        <f>A7=C7</f>
        <v>1</v>
      </c>
    </row>
    <row r="8" spans="1:8" ht="12.5" x14ac:dyDescent="0.25">
      <c r="A8" s="32">
        <v>13</v>
      </c>
      <c r="B8" s="33" t="s">
        <v>285</v>
      </c>
      <c r="C8" s="34">
        <v>13</v>
      </c>
      <c r="D8" s="32" t="s">
        <v>22</v>
      </c>
      <c r="E8" s="33" t="s">
        <v>276</v>
      </c>
      <c r="F8" s="32" t="s">
        <v>26</v>
      </c>
      <c r="G8" s="29" t="str">
        <f>IF(Consulta!$B$1="", "", IF(OR(IFERROR(SEARCH(Consulta!$B$1,B8),0)&gt;0,IFERROR(SEARCH(Consulta!$B$1,E8),0)&gt;0,IFERROR(SEARCH(Consulta!$B$1,F8),0)&gt;0), MAX($G$1:G6)+1, ""))</f>
        <v/>
      </c>
      <c r="H8" s="21" t="b">
        <f>A8=C8</f>
        <v>1</v>
      </c>
    </row>
    <row r="9" spans="1:8" ht="12.5" x14ac:dyDescent="0.25">
      <c r="A9" s="32">
        <v>13</v>
      </c>
      <c r="B9" s="33" t="s">
        <v>21</v>
      </c>
      <c r="C9" s="34">
        <v>13</v>
      </c>
      <c r="D9" s="32" t="s">
        <v>22</v>
      </c>
      <c r="E9" s="33" t="s">
        <v>8</v>
      </c>
      <c r="F9" s="32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2">
        <v>13</v>
      </c>
      <c r="B10" s="33" t="s">
        <v>275</v>
      </c>
      <c r="C10" s="34">
        <v>13</v>
      </c>
      <c r="D10" s="32" t="s">
        <v>22</v>
      </c>
      <c r="E10" s="33" t="s">
        <v>276</v>
      </c>
      <c r="F10" s="32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2">
        <v>13</v>
      </c>
      <c r="B11" s="33" t="s">
        <v>19</v>
      </c>
      <c r="C11" s="34">
        <v>13</v>
      </c>
      <c r="D11" s="32" t="s">
        <v>211</v>
      </c>
      <c r="E11" s="33" t="s">
        <v>8</v>
      </c>
      <c r="F11" s="32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2">
        <v>13</v>
      </c>
      <c r="B12" s="33" t="s">
        <v>278</v>
      </c>
      <c r="C12" s="34">
        <v>13</v>
      </c>
      <c r="D12" s="32" t="s">
        <v>22</v>
      </c>
      <c r="E12" s="33" t="s">
        <v>276</v>
      </c>
      <c r="F12" s="32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2">
        <v>13</v>
      </c>
      <c r="B13" s="33" t="s">
        <v>16</v>
      </c>
      <c r="C13" s="34">
        <v>13</v>
      </c>
      <c r="D13" s="32" t="s">
        <v>17</v>
      </c>
      <c r="E13" s="33" t="s">
        <v>8</v>
      </c>
      <c r="F13" s="32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2">
        <v>13</v>
      </c>
      <c r="B14" s="33" t="s">
        <v>277</v>
      </c>
      <c r="C14" s="34">
        <v>13</v>
      </c>
      <c r="D14" s="32" t="s">
        <v>22</v>
      </c>
      <c r="E14" s="33" t="s">
        <v>276</v>
      </c>
      <c r="F14" s="32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2">
        <v>13</v>
      </c>
      <c r="B15" s="33" t="s">
        <v>13</v>
      </c>
      <c r="C15" s="34">
        <v>13</v>
      </c>
      <c r="D15" s="32" t="s">
        <v>14</v>
      </c>
      <c r="E15" s="33" t="s">
        <v>8</v>
      </c>
      <c r="F15" s="32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2">
        <v>13</v>
      </c>
      <c r="B16" s="33" t="s">
        <v>10</v>
      </c>
      <c r="C16" s="34">
        <v>13</v>
      </c>
      <c r="D16" s="32" t="s">
        <v>11</v>
      </c>
      <c r="E16" s="33" t="s">
        <v>8</v>
      </c>
      <c r="F16" s="32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2">
        <v>13</v>
      </c>
      <c r="B17" s="33" t="s">
        <v>6</v>
      </c>
      <c r="C17" s="34">
        <v>13</v>
      </c>
      <c r="D17" s="32" t="s">
        <v>7</v>
      </c>
      <c r="E17" s="33" t="s">
        <v>8</v>
      </c>
      <c r="F17" s="32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215</v>
      </c>
      <c r="E18" s="27" t="s">
        <v>8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214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210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224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211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272</v>
      </c>
      <c r="C23" s="28">
        <v>15</v>
      </c>
      <c r="D23" s="26" t="s">
        <v>211</v>
      </c>
      <c r="E23" s="27" t="s">
        <v>273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265</v>
      </c>
      <c r="C24" s="28">
        <v>15</v>
      </c>
      <c r="D24" s="26" t="s">
        <v>7</v>
      </c>
      <c r="E24" s="27" t="s">
        <v>8</v>
      </c>
      <c r="F24" s="26" t="s">
        <v>267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58</v>
      </c>
      <c r="C25" s="28">
        <v>15</v>
      </c>
      <c r="D25" s="26" t="s">
        <v>228</v>
      </c>
      <c r="E25" s="27" t="s">
        <v>8</v>
      </c>
      <c r="F25" s="26" t="s">
        <v>59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274</v>
      </c>
      <c r="C26" s="28">
        <v>15</v>
      </c>
      <c r="D26" s="26" t="s">
        <v>210</v>
      </c>
      <c r="E26" s="27" t="s">
        <v>8</v>
      </c>
      <c r="F26" s="26" t="s">
        <v>57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55</v>
      </c>
      <c r="C27" s="28">
        <v>15</v>
      </c>
      <c r="D27" s="26" t="s">
        <v>209</v>
      </c>
      <c r="E27" s="27" t="s">
        <v>8</v>
      </c>
      <c r="F27" s="26" t="s">
        <v>56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283</v>
      </c>
      <c r="C28" s="28">
        <v>15</v>
      </c>
      <c r="D28" s="26" t="s">
        <v>215</v>
      </c>
      <c r="E28" s="27" t="s">
        <v>8</v>
      </c>
      <c r="F28" s="26" t="s">
        <v>77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266</v>
      </c>
      <c r="C29" s="28">
        <v>15</v>
      </c>
      <c r="D29" s="26" t="s">
        <v>22</v>
      </c>
      <c r="E29" s="27" t="s">
        <v>8</v>
      </c>
      <c r="F29" s="26" t="s">
        <v>268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51</v>
      </c>
      <c r="C30" s="28">
        <v>15</v>
      </c>
      <c r="D30" s="26" t="s">
        <v>218</v>
      </c>
      <c r="E30" s="27" t="s">
        <v>8</v>
      </c>
      <c r="F30" s="26" t="s">
        <v>52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47</v>
      </c>
      <c r="C31" s="28">
        <v>15</v>
      </c>
      <c r="D31" s="26" t="s">
        <v>238</v>
      </c>
      <c r="E31" s="27" t="s">
        <v>8</v>
      </c>
      <c r="F31" s="26" t="s">
        <v>48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45</v>
      </c>
      <c r="C32" s="28">
        <v>15</v>
      </c>
      <c r="D32" s="26" t="s">
        <v>230</v>
      </c>
      <c r="E32" s="27" t="s">
        <v>8</v>
      </c>
      <c r="F32" s="26" t="s">
        <v>46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43</v>
      </c>
      <c r="C33" s="28">
        <v>15</v>
      </c>
      <c r="D33" s="26" t="s">
        <v>211</v>
      </c>
      <c r="E33" s="27" t="s">
        <v>8</v>
      </c>
      <c r="F33" s="26" t="s">
        <v>44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41</v>
      </c>
      <c r="C34" s="28">
        <v>15</v>
      </c>
      <c r="D34" s="26" t="s">
        <v>217</v>
      </c>
      <c r="E34" s="27" t="s">
        <v>8</v>
      </c>
      <c r="F34" s="26" t="s">
        <v>42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250</v>
      </c>
      <c r="C35" s="28">
        <v>15</v>
      </c>
      <c r="D35" s="26">
        <v>2.1</v>
      </c>
      <c r="E35" s="27" t="s">
        <v>251</v>
      </c>
      <c r="F35" s="26" t="s">
        <v>207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39</v>
      </c>
      <c r="C36" s="28">
        <v>15</v>
      </c>
      <c r="D36" s="26" t="s">
        <v>216</v>
      </c>
      <c r="E36" s="27" t="s">
        <v>8</v>
      </c>
      <c r="F36" s="26" t="s">
        <v>40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35</v>
      </c>
      <c r="C37" s="28">
        <v>15</v>
      </c>
      <c r="D37" s="26" t="s">
        <v>215</v>
      </c>
      <c r="E37" s="27" t="s">
        <v>8</v>
      </c>
      <c r="F37" s="26" t="s">
        <v>36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286</v>
      </c>
      <c r="C38" s="28">
        <v>15</v>
      </c>
      <c r="D38" s="26" t="s">
        <v>214</v>
      </c>
      <c r="E38" s="27" t="s">
        <v>273</v>
      </c>
      <c r="F38" s="26" t="s">
        <v>34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35">
        <v>17</v>
      </c>
      <c r="B39" s="36" t="s">
        <v>72</v>
      </c>
      <c r="C39" s="37">
        <v>17</v>
      </c>
      <c r="D39" s="35" t="s">
        <v>219</v>
      </c>
      <c r="E39" s="36" t="s">
        <v>8</v>
      </c>
      <c r="F39" s="35" t="s">
        <v>73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35">
        <v>17</v>
      </c>
      <c r="B40" s="36" t="s">
        <v>287</v>
      </c>
      <c r="C40" s="37">
        <v>17</v>
      </c>
      <c r="D40" s="35" t="s">
        <v>227</v>
      </c>
      <c r="E40" s="36" t="s">
        <v>61</v>
      </c>
      <c r="F40" s="35" t="s">
        <v>69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35">
        <v>17</v>
      </c>
      <c r="B41" s="36" t="s">
        <v>63</v>
      </c>
      <c r="C41" s="37">
        <v>17</v>
      </c>
      <c r="D41" s="35" t="s">
        <v>220</v>
      </c>
      <c r="E41" s="36" t="s">
        <v>8</v>
      </c>
      <c r="F41" s="35" t="s">
        <v>64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35">
        <v>17</v>
      </c>
      <c r="B42" s="36" t="s">
        <v>60</v>
      </c>
      <c r="C42" s="37">
        <v>17</v>
      </c>
      <c r="D42" s="35" t="s">
        <v>221</v>
      </c>
      <c r="E42" s="36" t="s">
        <v>61</v>
      </c>
      <c r="F42" s="35" t="s">
        <v>62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38">
        <v>17</v>
      </c>
      <c r="B43" s="39" t="s">
        <v>109</v>
      </c>
      <c r="C43" s="40">
        <v>17</v>
      </c>
      <c r="D43" s="38" t="s">
        <v>225</v>
      </c>
      <c r="E43" s="39" t="s">
        <v>8</v>
      </c>
      <c r="F43" s="38" t="s">
        <v>110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38">
        <v>17</v>
      </c>
      <c r="B44" s="39" t="s">
        <v>107</v>
      </c>
      <c r="C44" s="40">
        <v>17</v>
      </c>
      <c r="D44" s="38" t="s">
        <v>234</v>
      </c>
      <c r="E44" s="39" t="s">
        <v>8</v>
      </c>
      <c r="F44" s="38" t="s">
        <v>108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35">
        <v>17</v>
      </c>
      <c r="B45" s="36" t="s">
        <v>53</v>
      </c>
      <c r="C45" s="37">
        <v>17</v>
      </c>
      <c r="D45" s="35" t="s">
        <v>212</v>
      </c>
      <c r="E45" s="36" t="s">
        <v>8</v>
      </c>
      <c r="F45" s="35" t="s">
        <v>54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5">
        <v>17</v>
      </c>
      <c r="B46" s="36" t="s">
        <v>49</v>
      </c>
      <c r="C46" s="37">
        <v>17</v>
      </c>
      <c r="D46" s="35" t="s">
        <v>216</v>
      </c>
      <c r="E46" s="36" t="s">
        <v>8</v>
      </c>
      <c r="F46" s="35" t="s">
        <v>50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38">
        <v>17</v>
      </c>
      <c r="B47" s="39" t="s">
        <v>99</v>
      </c>
      <c r="C47" s="40">
        <v>17</v>
      </c>
      <c r="D47" s="38" t="s">
        <v>224</v>
      </c>
      <c r="E47" s="39" t="s">
        <v>8</v>
      </c>
      <c r="F47" s="38" t="s">
        <v>100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38">
        <v>17</v>
      </c>
      <c r="B48" s="39" t="s">
        <v>95</v>
      </c>
      <c r="C48" s="40">
        <v>17</v>
      </c>
      <c r="D48" s="38" t="s">
        <v>222</v>
      </c>
      <c r="E48" s="39" t="s">
        <v>8</v>
      </c>
      <c r="F48" s="38" t="s">
        <v>96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35">
        <v>17</v>
      </c>
      <c r="B49" s="36" t="s">
        <v>37</v>
      </c>
      <c r="C49" s="37">
        <v>17</v>
      </c>
      <c r="D49" s="35" t="s">
        <v>219</v>
      </c>
      <c r="E49" s="36" t="s">
        <v>8</v>
      </c>
      <c r="F49" s="35" t="s">
        <v>38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38">
        <v>17</v>
      </c>
      <c r="B50" s="39" t="s">
        <v>85</v>
      </c>
      <c r="C50" s="40">
        <v>17</v>
      </c>
      <c r="D50" s="38" t="s">
        <v>224</v>
      </c>
      <c r="E50" s="39" t="s">
        <v>8</v>
      </c>
      <c r="F50" s="38" t="s">
        <v>86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35">
        <v>17</v>
      </c>
      <c r="B51" s="36" t="s">
        <v>32</v>
      </c>
      <c r="C51" s="37">
        <v>17</v>
      </c>
      <c r="D51" s="35" t="s">
        <v>213</v>
      </c>
      <c r="E51" s="36" t="s">
        <v>8</v>
      </c>
      <c r="F51" s="35" t="s">
        <v>33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35">
        <v>17</v>
      </c>
      <c r="B52" s="36" t="s">
        <v>30</v>
      </c>
      <c r="C52" s="37">
        <v>17</v>
      </c>
      <c r="D52" s="35" t="s">
        <v>212</v>
      </c>
      <c r="E52" s="36" t="s">
        <v>8</v>
      </c>
      <c r="F52" s="35" t="s">
        <v>31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2">
        <v>20</v>
      </c>
      <c r="B53" s="33" t="s">
        <v>149</v>
      </c>
      <c r="C53" s="34">
        <v>20</v>
      </c>
      <c r="D53" s="32" t="s">
        <v>211</v>
      </c>
      <c r="E53" s="33" t="s">
        <v>8</v>
      </c>
      <c r="F53" s="32" t="s">
        <v>150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32">
        <v>20</v>
      </c>
      <c r="B54" s="33" t="s">
        <v>147</v>
      </c>
      <c r="C54" s="34">
        <v>20</v>
      </c>
      <c r="D54" s="32" t="s">
        <v>214</v>
      </c>
      <c r="E54" s="33" t="s">
        <v>8</v>
      </c>
      <c r="F54" s="32" t="s">
        <v>148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32">
        <v>20</v>
      </c>
      <c r="B55" s="33" t="s">
        <v>145</v>
      </c>
      <c r="C55" s="34">
        <v>20</v>
      </c>
      <c r="D55" s="32" t="s">
        <v>216</v>
      </c>
      <c r="E55" s="33" t="s">
        <v>8</v>
      </c>
      <c r="F55" s="32" t="s">
        <v>146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2">
        <v>20</v>
      </c>
      <c r="B56" s="33" t="s">
        <v>143</v>
      </c>
      <c r="C56" s="34">
        <v>20</v>
      </c>
      <c r="D56" s="32" t="s">
        <v>221</v>
      </c>
      <c r="E56" s="33" t="s">
        <v>8</v>
      </c>
      <c r="F56" s="32" t="s">
        <v>144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32">
        <v>20</v>
      </c>
      <c r="B57" s="33" t="s">
        <v>141</v>
      </c>
      <c r="C57" s="34">
        <v>20</v>
      </c>
      <c r="D57" s="32" t="s">
        <v>228</v>
      </c>
      <c r="E57" s="33" t="s">
        <v>8</v>
      </c>
      <c r="F57" s="32" t="s">
        <v>142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2">
        <v>20</v>
      </c>
      <c r="B58" s="33" t="s">
        <v>261</v>
      </c>
      <c r="C58" s="34">
        <v>20</v>
      </c>
      <c r="D58" s="32" t="s">
        <v>230</v>
      </c>
      <c r="E58" s="33" t="s">
        <v>8</v>
      </c>
      <c r="F58" s="32" t="s">
        <v>262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32">
        <v>20</v>
      </c>
      <c r="B59" s="33" t="s">
        <v>260</v>
      </c>
      <c r="C59" s="34">
        <v>20</v>
      </c>
      <c r="D59" s="32">
        <v>4.2</v>
      </c>
      <c r="E59" s="33" t="s">
        <v>8</v>
      </c>
      <c r="F59" s="32">
        <v>21765430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32">
        <v>20</v>
      </c>
      <c r="B60" s="33" t="s">
        <v>139</v>
      </c>
      <c r="C60" s="34">
        <v>20</v>
      </c>
      <c r="D60" s="32" t="s">
        <v>215</v>
      </c>
      <c r="E60" s="33" t="s">
        <v>8</v>
      </c>
      <c r="F60" s="32" t="s">
        <v>140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32">
        <v>20</v>
      </c>
      <c r="B61" s="33" t="s">
        <v>271</v>
      </c>
      <c r="C61" s="34">
        <v>20</v>
      </c>
      <c r="D61" s="32" t="s">
        <v>227</v>
      </c>
      <c r="E61" s="33" t="s">
        <v>8</v>
      </c>
      <c r="F61" s="32" t="s">
        <v>138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2">
        <v>20</v>
      </c>
      <c r="B62" s="33" t="s">
        <v>136</v>
      </c>
      <c r="C62" s="34">
        <v>20</v>
      </c>
      <c r="D62" s="32" t="s">
        <v>224</v>
      </c>
      <c r="E62" s="33" t="s">
        <v>8</v>
      </c>
      <c r="F62" s="32" t="s">
        <v>137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2">
        <v>20</v>
      </c>
      <c r="B63" s="33" t="s">
        <v>133</v>
      </c>
      <c r="C63" s="34">
        <v>20</v>
      </c>
      <c r="D63" s="32" t="s">
        <v>219</v>
      </c>
      <c r="E63" s="33" t="s">
        <v>134</v>
      </c>
      <c r="F63" s="32" t="s">
        <v>135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2">
        <v>20</v>
      </c>
      <c r="B64" s="33" t="s">
        <v>131</v>
      </c>
      <c r="C64" s="34">
        <v>20</v>
      </c>
      <c r="D64" s="32" t="s">
        <v>225</v>
      </c>
      <c r="E64" s="33" t="s">
        <v>8</v>
      </c>
      <c r="F64" s="32" t="s">
        <v>132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2">
        <v>20</v>
      </c>
      <c r="B65" s="33" t="s">
        <v>129</v>
      </c>
      <c r="C65" s="34">
        <v>20</v>
      </c>
      <c r="D65" s="32" t="s">
        <v>239</v>
      </c>
      <c r="E65" s="33" t="s">
        <v>8</v>
      </c>
      <c r="F65" s="32" t="s">
        <v>130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32">
        <v>20</v>
      </c>
      <c r="B66" s="33" t="s">
        <v>127</v>
      </c>
      <c r="C66" s="34">
        <v>20</v>
      </c>
      <c r="D66" s="32" t="s">
        <v>235</v>
      </c>
      <c r="E66" s="33" t="s">
        <v>8</v>
      </c>
      <c r="F66" s="32" t="s">
        <v>128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2">
        <v>20</v>
      </c>
      <c r="B67" s="33" t="s">
        <v>125</v>
      </c>
      <c r="C67" s="34">
        <v>20</v>
      </c>
      <c r="D67" s="32" t="s">
        <v>220</v>
      </c>
      <c r="E67" s="33" t="s">
        <v>8</v>
      </c>
      <c r="F67" s="32" t="s">
        <v>126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2">
        <v>20</v>
      </c>
      <c r="B68" s="33" t="s">
        <v>123</v>
      </c>
      <c r="C68" s="34">
        <v>20</v>
      </c>
      <c r="D68" s="32" t="s">
        <v>228</v>
      </c>
      <c r="E68" s="33" t="s">
        <v>8</v>
      </c>
      <c r="F68" s="32" t="s">
        <v>124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2">
        <v>20</v>
      </c>
      <c r="B69" s="33" t="s">
        <v>263</v>
      </c>
      <c r="C69" s="34">
        <v>20</v>
      </c>
      <c r="D69" s="32" t="s">
        <v>230</v>
      </c>
      <c r="E69" s="33" t="s">
        <v>8</v>
      </c>
      <c r="F69" s="32" t="s">
        <v>264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2">
        <v>20</v>
      </c>
      <c r="B70" s="33" t="s">
        <v>121</v>
      </c>
      <c r="C70" s="34">
        <v>20</v>
      </c>
      <c r="D70" s="32" t="s">
        <v>232</v>
      </c>
      <c r="E70" s="33" t="s">
        <v>8</v>
      </c>
      <c r="F70" s="32" t="s">
        <v>122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2">
        <v>20</v>
      </c>
      <c r="B71" s="33" t="s">
        <v>119</v>
      </c>
      <c r="C71" s="34">
        <v>20</v>
      </c>
      <c r="D71" s="32" t="s">
        <v>213</v>
      </c>
      <c r="E71" s="33" t="s">
        <v>8</v>
      </c>
      <c r="F71" s="32" t="s">
        <v>120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2">
        <v>20</v>
      </c>
      <c r="B72" s="33" t="s">
        <v>117</v>
      </c>
      <c r="C72" s="34">
        <v>20</v>
      </c>
      <c r="D72" s="32" t="s">
        <v>217</v>
      </c>
      <c r="E72" s="33" t="s">
        <v>8</v>
      </c>
      <c r="F72" s="32" t="s">
        <v>118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2">
        <v>20</v>
      </c>
      <c r="B73" s="33" t="s">
        <v>115</v>
      </c>
      <c r="C73" s="34">
        <v>20</v>
      </c>
      <c r="D73" s="32" t="s">
        <v>224</v>
      </c>
      <c r="E73" s="33" t="s">
        <v>8</v>
      </c>
      <c r="F73" s="32" t="s">
        <v>116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2">
        <v>20</v>
      </c>
      <c r="B74" s="33" t="s">
        <v>113</v>
      </c>
      <c r="C74" s="34">
        <v>20</v>
      </c>
      <c r="D74" s="32" t="s">
        <v>227</v>
      </c>
      <c r="E74" s="33" t="s">
        <v>8</v>
      </c>
      <c r="F74" s="32" t="s">
        <v>114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2">
        <v>20</v>
      </c>
      <c r="B75" s="33" t="s">
        <v>111</v>
      </c>
      <c r="C75" s="34">
        <v>20</v>
      </c>
      <c r="D75" s="32" t="s">
        <v>223</v>
      </c>
      <c r="E75" s="33" t="s">
        <v>8</v>
      </c>
      <c r="F75" s="32" t="s">
        <v>112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2">
        <v>20</v>
      </c>
      <c r="B76" s="33" t="s">
        <v>105</v>
      </c>
      <c r="C76" s="34">
        <v>20</v>
      </c>
      <c r="D76" s="32" t="s">
        <v>219</v>
      </c>
      <c r="E76" s="33" t="s">
        <v>61</v>
      </c>
      <c r="F76" s="32" t="s">
        <v>106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2">
        <v>20</v>
      </c>
      <c r="B77" s="33" t="s">
        <v>103</v>
      </c>
      <c r="C77" s="34">
        <v>20</v>
      </c>
      <c r="D77" s="32" t="s">
        <v>212</v>
      </c>
      <c r="E77" s="33" t="s">
        <v>8</v>
      </c>
      <c r="F77" s="32" t="s">
        <v>104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2">
        <v>20</v>
      </c>
      <c r="B78" s="33" t="s">
        <v>269</v>
      </c>
      <c r="C78" s="34">
        <v>20</v>
      </c>
      <c r="D78" s="32">
        <v>6.2</v>
      </c>
      <c r="E78" s="33" t="s">
        <v>8</v>
      </c>
      <c r="F78" s="32" t="s">
        <v>270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2">
        <v>20</v>
      </c>
      <c r="B79" s="33" t="s">
        <v>101</v>
      </c>
      <c r="C79" s="34">
        <v>20</v>
      </c>
      <c r="D79" s="32" t="s">
        <v>220</v>
      </c>
      <c r="E79" s="33" t="s">
        <v>83</v>
      </c>
      <c r="F79" s="32" t="s">
        <v>102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2">
        <v>20</v>
      </c>
      <c r="B80" s="33" t="s">
        <v>97</v>
      </c>
      <c r="C80" s="34">
        <v>20</v>
      </c>
      <c r="D80" s="32" t="s">
        <v>221</v>
      </c>
      <c r="E80" s="33" t="s">
        <v>8</v>
      </c>
      <c r="F80" s="32" t="s">
        <v>98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2">
        <v>20</v>
      </c>
      <c r="B81" s="33" t="s">
        <v>93</v>
      </c>
      <c r="C81" s="34">
        <v>20</v>
      </c>
      <c r="D81" s="32" t="s">
        <v>223</v>
      </c>
      <c r="E81" s="33" t="s">
        <v>8</v>
      </c>
      <c r="F81" s="32" t="s">
        <v>94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2">
        <v>20</v>
      </c>
      <c r="B82" s="33" t="s">
        <v>91</v>
      </c>
      <c r="C82" s="34">
        <v>20</v>
      </c>
      <c r="D82" s="32" t="s">
        <v>228</v>
      </c>
      <c r="E82" s="33" t="s">
        <v>8</v>
      </c>
      <c r="F82" s="32" t="s">
        <v>92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2">
        <v>20</v>
      </c>
      <c r="B83" s="33" t="s">
        <v>89</v>
      </c>
      <c r="C83" s="34">
        <v>20</v>
      </c>
      <c r="D83" s="32" t="s">
        <v>227</v>
      </c>
      <c r="E83" s="33" t="s">
        <v>8</v>
      </c>
      <c r="F83" s="32" t="s">
        <v>90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2">
        <v>20</v>
      </c>
      <c r="B84" s="33" t="s">
        <v>87</v>
      </c>
      <c r="C84" s="34">
        <v>20</v>
      </c>
      <c r="D84" s="32" t="s">
        <v>225</v>
      </c>
      <c r="E84" s="33" t="s">
        <v>8</v>
      </c>
      <c r="F84" s="32" t="s">
        <v>88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2">
        <v>20</v>
      </c>
      <c r="B85" s="33" t="s">
        <v>82</v>
      </c>
      <c r="C85" s="34">
        <v>20</v>
      </c>
      <c r="D85" s="32" t="s">
        <v>223</v>
      </c>
      <c r="E85" s="33" t="s">
        <v>83</v>
      </c>
      <c r="F85" s="32" t="s">
        <v>84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2">
        <v>20</v>
      </c>
      <c r="B86" s="33" t="s">
        <v>80</v>
      </c>
      <c r="C86" s="34">
        <v>20</v>
      </c>
      <c r="D86" s="32" t="s">
        <v>222</v>
      </c>
      <c r="E86" s="33" t="s">
        <v>8</v>
      </c>
      <c r="F86" s="32" t="s">
        <v>81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2">
        <v>20</v>
      </c>
      <c r="B87" s="33" t="s">
        <v>78</v>
      </c>
      <c r="C87" s="34">
        <v>20</v>
      </c>
      <c r="D87" s="32" t="s">
        <v>221</v>
      </c>
      <c r="E87" s="33" t="s">
        <v>8</v>
      </c>
      <c r="F87" s="32" t="s">
        <v>79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26">
        <v>25</v>
      </c>
      <c r="B88" s="27" t="s">
        <v>183</v>
      </c>
      <c r="C88" s="28">
        <v>25</v>
      </c>
      <c r="D88" s="26" t="s">
        <v>230</v>
      </c>
      <c r="E88" s="27" t="s">
        <v>8</v>
      </c>
      <c r="F88" s="26" t="s">
        <v>184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26">
        <v>25</v>
      </c>
      <c r="B89" s="27" t="s">
        <v>181</v>
      </c>
      <c r="C89" s="28">
        <v>25</v>
      </c>
      <c r="D89" s="26" t="s">
        <v>243</v>
      </c>
      <c r="E89" s="27" t="s">
        <v>134</v>
      </c>
      <c r="F89" s="26" t="s">
        <v>182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26">
        <v>25</v>
      </c>
      <c r="B90" s="27" t="s">
        <v>179</v>
      </c>
      <c r="C90" s="28">
        <v>25</v>
      </c>
      <c r="D90" s="26" t="s">
        <v>236</v>
      </c>
      <c r="E90" s="27" t="s">
        <v>134</v>
      </c>
      <c r="F90" s="26" t="s">
        <v>180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26">
        <v>25</v>
      </c>
      <c r="B91" s="27" t="s">
        <v>177</v>
      </c>
      <c r="C91" s="28">
        <v>25</v>
      </c>
      <c r="D91" s="26" t="s">
        <v>229</v>
      </c>
      <c r="E91" s="27" t="s">
        <v>134</v>
      </c>
      <c r="F91" s="26" t="s">
        <v>178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26">
        <v>25</v>
      </c>
      <c r="B92" s="27" t="s">
        <v>175</v>
      </c>
      <c r="C92" s="28">
        <v>25</v>
      </c>
      <c r="D92" s="26" t="s">
        <v>242</v>
      </c>
      <c r="E92" s="27" t="s">
        <v>134</v>
      </c>
      <c r="F92" s="26" t="s">
        <v>176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32">
        <v>25</v>
      </c>
      <c r="B93" s="33" t="s">
        <v>290</v>
      </c>
      <c r="C93" s="34">
        <v>25</v>
      </c>
      <c r="D93" s="32" t="s">
        <v>212</v>
      </c>
      <c r="E93" s="33" t="s">
        <v>289</v>
      </c>
      <c r="F93" s="32" t="s">
        <v>104</v>
      </c>
      <c r="G93" s="29" t="str">
        <f>IF(Consulta!$B$1="", "", IF(OR(IFERROR(SEARCH(Consulta!$B$1,B93),0)&gt;0,IFERROR(SEARCH(Consulta!$B$1,E93),0)&gt;0,IFERROR(SEARCH(Consulta!$B$1,F93),0)&gt;0), MAX($G$1:G86)+1, ""))</f>
        <v/>
      </c>
      <c r="H93" s="21" t="b">
        <f>A93=C93</f>
        <v>1</v>
      </c>
    </row>
    <row r="94" spans="1:8" ht="12.5" x14ac:dyDescent="0.25">
      <c r="A94" s="32">
        <v>25</v>
      </c>
      <c r="B94" s="33" t="s">
        <v>288</v>
      </c>
      <c r="C94" s="34">
        <v>25</v>
      </c>
      <c r="D94" s="32" t="s">
        <v>212</v>
      </c>
      <c r="E94" s="33" t="s">
        <v>289</v>
      </c>
      <c r="F94" s="32" t="s">
        <v>104</v>
      </c>
      <c r="G94" s="29" t="str">
        <f>IF(Consulta!$B$1="", "", IF(OR(IFERROR(SEARCH(Consulta!$B$1,B94),0)&gt;0,IFERROR(SEARCH(Consulta!$B$1,E94),0)&gt;0,IFERROR(SEARCH(Consulta!$B$1,F94),0)&gt;0), MAX($G$1:G90)+1, ""))</f>
        <v/>
      </c>
      <c r="H94" s="21" t="b">
        <f>A94=C94</f>
        <v>1</v>
      </c>
    </row>
    <row r="95" spans="1:8" ht="12.5" x14ac:dyDescent="0.25">
      <c r="A95" s="26">
        <v>25</v>
      </c>
      <c r="B95" s="27" t="s">
        <v>173</v>
      </c>
      <c r="C95" s="28">
        <v>25</v>
      </c>
      <c r="D95" s="26" t="s">
        <v>239</v>
      </c>
      <c r="E95" s="27" t="s">
        <v>134</v>
      </c>
      <c r="F95" s="26" t="s">
        <v>174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26">
        <v>25</v>
      </c>
      <c r="B96" s="27" t="s">
        <v>171</v>
      </c>
      <c r="C96" s="28">
        <v>25</v>
      </c>
      <c r="D96" s="26" t="s">
        <v>222</v>
      </c>
      <c r="E96" s="27" t="s">
        <v>8</v>
      </c>
      <c r="F96" s="26" t="s">
        <v>172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2">
        <v>25</v>
      </c>
      <c r="B97" s="33" t="s">
        <v>284</v>
      </c>
      <c r="C97" s="34">
        <v>25</v>
      </c>
      <c r="D97" s="32" t="s">
        <v>212</v>
      </c>
      <c r="E97" s="33" t="s">
        <v>8</v>
      </c>
      <c r="F97" s="32" t="s">
        <v>104</v>
      </c>
      <c r="G97" s="29" t="str">
        <f>IF(Consulta!$B$1="", "", IF(OR(IFERROR(SEARCH(Consulta!$B$1,B97),0)&gt;0,IFERROR(SEARCH(Consulta!$B$1,E97),0)&gt;0,IFERROR(SEARCH(Consulta!$B$1,F97),0)&gt;0), MAX($G$1:G90)+1, ""))</f>
        <v/>
      </c>
      <c r="H97" s="21" t="b">
        <f>A97=C97</f>
        <v>1</v>
      </c>
    </row>
    <row r="98" spans="1:8" ht="12.5" x14ac:dyDescent="0.25">
      <c r="A98" s="26">
        <v>25</v>
      </c>
      <c r="B98" s="27" t="s">
        <v>169</v>
      </c>
      <c r="C98" s="28">
        <v>25</v>
      </c>
      <c r="D98" s="26" t="s">
        <v>226</v>
      </c>
      <c r="E98" s="27" t="s">
        <v>134</v>
      </c>
      <c r="F98" s="26" t="s">
        <v>170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26">
        <v>25</v>
      </c>
      <c r="B99" s="27" t="s">
        <v>167</v>
      </c>
      <c r="C99" s="28">
        <v>25</v>
      </c>
      <c r="D99" s="26" t="s">
        <v>234</v>
      </c>
      <c r="E99" s="27" t="s">
        <v>134</v>
      </c>
      <c r="F99" s="26" t="s">
        <v>168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26">
        <v>25</v>
      </c>
      <c r="B100" s="27" t="s">
        <v>165</v>
      </c>
      <c r="C100" s="28">
        <v>25</v>
      </c>
      <c r="D100" s="26" t="s">
        <v>237</v>
      </c>
      <c r="E100" s="27" t="s">
        <v>83</v>
      </c>
      <c r="F100" s="26" t="s">
        <v>166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26">
        <v>25</v>
      </c>
      <c r="B101" s="27" t="s">
        <v>163</v>
      </c>
      <c r="C101" s="28">
        <v>25</v>
      </c>
      <c r="D101" s="26" t="s">
        <v>241</v>
      </c>
      <c r="E101" s="27" t="s">
        <v>83</v>
      </c>
      <c r="F101" s="26" t="s">
        <v>164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26">
        <v>25</v>
      </c>
      <c r="B102" s="27" t="s">
        <v>161</v>
      </c>
      <c r="C102" s="28">
        <v>25</v>
      </c>
      <c r="D102" s="26" t="s">
        <v>233</v>
      </c>
      <c r="E102" s="27" t="s">
        <v>83</v>
      </c>
      <c r="F102" s="26" t="s">
        <v>162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26">
        <v>25</v>
      </c>
      <c r="B103" s="27" t="s">
        <v>159</v>
      </c>
      <c r="C103" s="28">
        <v>25</v>
      </c>
      <c r="D103" s="26" t="s">
        <v>232</v>
      </c>
      <c r="E103" s="27" t="s">
        <v>83</v>
      </c>
      <c r="F103" s="26" t="s">
        <v>160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26">
        <v>25</v>
      </c>
      <c r="B104" s="27" t="s">
        <v>157</v>
      </c>
      <c r="C104" s="28">
        <v>25</v>
      </c>
      <c r="D104" s="26" t="s">
        <v>229</v>
      </c>
      <c r="E104" s="27" t="s">
        <v>8</v>
      </c>
      <c r="F104" s="26" t="s">
        <v>158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26">
        <v>25</v>
      </c>
      <c r="B105" s="27" t="s">
        <v>155</v>
      </c>
      <c r="C105" s="28">
        <v>25</v>
      </c>
      <c r="D105" s="26" t="s">
        <v>235</v>
      </c>
      <c r="E105" s="27" t="s">
        <v>134</v>
      </c>
      <c r="F105" s="26" t="s">
        <v>156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26">
        <v>25</v>
      </c>
      <c r="B106" s="27" t="s">
        <v>253</v>
      </c>
      <c r="C106" s="28">
        <v>25</v>
      </c>
      <c r="D106" s="41" t="s">
        <v>234</v>
      </c>
      <c r="E106" s="27" t="s">
        <v>8</v>
      </c>
      <c r="F106" s="26" t="s">
        <v>254</v>
      </c>
      <c r="G106" s="29" t="str">
        <f>IF(Consulta!$B$1="", "", IF(OR(IFERROR(SEARCH(Consulta!$B$1,B106),0)&gt;0,IFERROR(SEARCH(Consulta!$B$1,E106),0)&gt;0,IFERROR(SEARCH(Consulta!$B$1,F106),0)&gt;0), MAX($G$1:G104)+1, ""))</f>
        <v/>
      </c>
      <c r="H106" s="21" t="b">
        <f>A106=C106</f>
        <v>1</v>
      </c>
    </row>
    <row r="107" spans="1:8" ht="12.5" x14ac:dyDescent="0.25">
      <c r="A107" s="26">
        <v>25</v>
      </c>
      <c r="B107" s="27" t="s">
        <v>153</v>
      </c>
      <c r="C107" s="28">
        <v>25</v>
      </c>
      <c r="D107" s="26" t="s">
        <v>240</v>
      </c>
      <c r="E107" s="27" t="s">
        <v>134</v>
      </c>
      <c r="F107" s="26" t="s">
        <v>154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2">
        <v>25</v>
      </c>
      <c r="B108" s="33" t="s">
        <v>294</v>
      </c>
      <c r="C108" s="34">
        <v>25</v>
      </c>
      <c r="D108" s="32" t="s">
        <v>212</v>
      </c>
      <c r="E108" s="33" t="s">
        <v>289</v>
      </c>
      <c r="F108" s="32" t="s">
        <v>104</v>
      </c>
      <c r="G108" s="29" t="str">
        <f>IF(Consulta!$B$1="", "", IF(OR(IFERROR(SEARCH(Consulta!$B$1,B108),0)&gt;0,IFERROR(SEARCH(Consulta!$B$1,E108),0)&gt;0,IFERROR(SEARCH(Consulta!$B$1,F108),0)&gt;0), MAX($G$1:G101)+1, ""))</f>
        <v/>
      </c>
      <c r="H108" s="21" t="b">
        <f>A108=C108</f>
        <v>1</v>
      </c>
    </row>
    <row r="109" spans="1:8" ht="12.5" x14ac:dyDescent="0.25">
      <c r="A109" s="32">
        <v>25</v>
      </c>
      <c r="B109" s="33" t="s">
        <v>292</v>
      </c>
      <c r="C109" s="34">
        <v>25</v>
      </c>
      <c r="D109" s="32" t="s">
        <v>212</v>
      </c>
      <c r="E109" s="33" t="s">
        <v>289</v>
      </c>
      <c r="F109" s="32" t="s">
        <v>104</v>
      </c>
      <c r="G109" s="29" t="str">
        <f>IF(Consulta!$B$1="", "", IF(OR(IFERROR(SEARCH(Consulta!$B$1,B109),0)&gt;0,IFERROR(SEARCH(Consulta!$B$1,E109),0)&gt;0,IFERROR(SEARCH(Consulta!$B$1,F109),0)&gt;0), MAX($G$1:G102)+1, ""))</f>
        <v/>
      </c>
      <c r="H109" s="21" t="b">
        <f>A109=C109</f>
        <v>1</v>
      </c>
    </row>
    <row r="110" spans="1:8" ht="12.5" x14ac:dyDescent="0.25">
      <c r="A110" s="32">
        <v>25</v>
      </c>
      <c r="B110" s="33" t="s">
        <v>293</v>
      </c>
      <c r="C110" s="34">
        <v>25</v>
      </c>
      <c r="D110" s="32" t="s">
        <v>212</v>
      </c>
      <c r="E110" s="33" t="s">
        <v>289</v>
      </c>
      <c r="F110" s="32" t="s">
        <v>104</v>
      </c>
      <c r="G110" s="29" t="str">
        <f>IF(Consulta!$B$1="", "", IF(OR(IFERROR(SEARCH(Consulta!$B$1,B110),0)&gt;0,IFERROR(SEARCH(Consulta!$B$1,E110),0)&gt;0,IFERROR(SEARCH(Consulta!$B$1,F110),0)&gt;0), MAX($G$1:G103)+1, ""))</f>
        <v/>
      </c>
      <c r="H110" s="21" t="b">
        <f>A110=C110</f>
        <v>1</v>
      </c>
    </row>
    <row r="111" spans="1:8" ht="12.5" x14ac:dyDescent="0.25">
      <c r="A111" s="26">
        <v>25</v>
      </c>
      <c r="B111" s="27" t="s">
        <v>258</v>
      </c>
      <c r="C111" s="28">
        <v>25</v>
      </c>
      <c r="D111" s="26">
        <v>2.5</v>
      </c>
      <c r="E111" s="27" t="s">
        <v>134</v>
      </c>
      <c r="F111" s="26" t="s">
        <v>259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2">
        <v>25</v>
      </c>
      <c r="B112" s="33" t="s">
        <v>291</v>
      </c>
      <c r="C112" s="34">
        <v>25</v>
      </c>
      <c r="D112" s="32" t="s">
        <v>212</v>
      </c>
      <c r="E112" s="33" t="s">
        <v>289</v>
      </c>
      <c r="F112" s="32" t="s">
        <v>104</v>
      </c>
      <c r="G112" s="29" t="str">
        <f>IF(Consulta!$B$1="", "", IF(OR(IFERROR(SEARCH(Consulta!$B$1,B112),0)&gt;0,IFERROR(SEARCH(Consulta!$B$1,E112),0)&gt;0,IFERROR(SEARCH(Consulta!$B$1,F112),0)&gt;0), MAX($G$1:G105)+1, ""))</f>
        <v/>
      </c>
      <c r="H112" s="21" t="b">
        <f>A112=C112</f>
        <v>1</v>
      </c>
    </row>
    <row r="113" spans="1:8" ht="12.5" x14ac:dyDescent="0.25">
      <c r="A113" s="26">
        <v>25</v>
      </c>
      <c r="B113" s="27" t="s">
        <v>151</v>
      </c>
      <c r="C113" s="28">
        <v>25</v>
      </c>
      <c r="D113" s="26" t="s">
        <v>231</v>
      </c>
      <c r="E113" s="27" t="s">
        <v>83</v>
      </c>
      <c r="F113" s="26" t="s">
        <v>152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2">
        <v>30</v>
      </c>
      <c r="B114" s="33" t="s">
        <v>197</v>
      </c>
      <c r="C114" s="34">
        <v>30</v>
      </c>
      <c r="D114" s="32" t="s">
        <v>237</v>
      </c>
      <c r="E114" s="33" t="s">
        <v>134</v>
      </c>
      <c r="F114" s="32" t="s">
        <v>198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2">
        <v>30</v>
      </c>
      <c r="B115" s="33" t="s">
        <v>196</v>
      </c>
      <c r="C115" s="34">
        <v>30</v>
      </c>
      <c r="D115" s="32" t="s">
        <v>247</v>
      </c>
      <c r="E115" s="33" t="s">
        <v>134</v>
      </c>
      <c r="F115" s="32" t="s">
        <v>195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2">
        <v>30</v>
      </c>
      <c r="B116" s="33" t="s">
        <v>194</v>
      </c>
      <c r="C116" s="34">
        <v>30</v>
      </c>
      <c r="D116" s="32" t="s">
        <v>246</v>
      </c>
      <c r="E116" s="33" t="s">
        <v>134</v>
      </c>
      <c r="F116" s="32" t="s">
        <v>195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2">
        <v>30</v>
      </c>
      <c r="B117" s="33" t="s">
        <v>252</v>
      </c>
      <c r="C117" s="34">
        <v>30</v>
      </c>
      <c r="D117" s="32" t="s">
        <v>222</v>
      </c>
      <c r="E117" s="33" t="s">
        <v>8</v>
      </c>
      <c r="F117" s="32" t="s">
        <v>193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2">
        <v>30</v>
      </c>
      <c r="B118" s="33" t="s">
        <v>191</v>
      </c>
      <c r="C118" s="34">
        <v>30</v>
      </c>
      <c r="D118" s="32" t="s">
        <v>234</v>
      </c>
      <c r="E118" s="33" t="s">
        <v>8</v>
      </c>
      <c r="F118" s="32" t="s">
        <v>192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32">
        <v>30</v>
      </c>
      <c r="B119" s="33" t="s">
        <v>189</v>
      </c>
      <c r="C119" s="34">
        <v>30</v>
      </c>
      <c r="D119" s="32" t="s">
        <v>233</v>
      </c>
      <c r="E119" s="33" t="s">
        <v>83</v>
      </c>
      <c r="F119" s="32" t="s">
        <v>190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32">
        <v>30</v>
      </c>
      <c r="B120" s="33" t="s">
        <v>187</v>
      </c>
      <c r="C120" s="34">
        <v>30</v>
      </c>
      <c r="D120" s="32" t="s">
        <v>245</v>
      </c>
      <c r="E120" s="33" t="s">
        <v>134</v>
      </c>
      <c r="F120" s="32" t="s">
        <v>188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32">
        <v>30</v>
      </c>
      <c r="B121" s="33" t="s">
        <v>185</v>
      </c>
      <c r="C121" s="34">
        <v>30</v>
      </c>
      <c r="D121" s="32" t="s">
        <v>244</v>
      </c>
      <c r="E121" s="33" t="s">
        <v>134</v>
      </c>
      <c r="F121" s="32" t="s">
        <v>186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26">
        <v>40</v>
      </c>
      <c r="B122" s="27" t="s">
        <v>202</v>
      </c>
      <c r="C122" s="28">
        <v>40</v>
      </c>
      <c r="D122" s="26" t="s">
        <v>249</v>
      </c>
      <c r="E122" s="27" t="s">
        <v>203</v>
      </c>
      <c r="F122" s="26" t="s">
        <v>204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26">
        <v>40</v>
      </c>
      <c r="B123" s="27" t="s">
        <v>199</v>
      </c>
      <c r="C123" s="28">
        <v>40</v>
      </c>
      <c r="D123" s="26" t="s">
        <v>248</v>
      </c>
      <c r="E123" s="27" t="s">
        <v>200</v>
      </c>
      <c r="F123" s="26" t="s">
        <v>201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26">
        <v>40</v>
      </c>
      <c r="B124" s="27" t="s">
        <v>255</v>
      </c>
      <c r="C124" s="28">
        <v>40</v>
      </c>
      <c r="D124" s="26">
        <v>8.3000000000000007</v>
      </c>
      <c r="E124" s="27" t="s">
        <v>256</v>
      </c>
      <c r="F124" s="26" t="s">
        <v>257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0"/>
      <c r="B125" s="31"/>
      <c r="C125" s="30"/>
      <c r="D125" s="30"/>
      <c r="E125" s="31"/>
      <c r="F125" s="30"/>
      <c r="G125" s="31"/>
    </row>
    <row r="126" spans="1:8" ht="12.5" x14ac:dyDescent="0.25">
      <c r="A126" s="30"/>
      <c r="B126" s="31"/>
      <c r="C126" s="30"/>
      <c r="D126" s="30"/>
      <c r="E126" s="31"/>
      <c r="F126" s="30"/>
      <c r="G126" s="31"/>
    </row>
    <row r="127" spans="1:8" ht="12.5" x14ac:dyDescent="0.25">
      <c r="A127" s="30"/>
      <c r="B127" s="31"/>
      <c r="C127" s="30"/>
      <c r="D127" s="30"/>
      <c r="E127" s="31"/>
      <c r="F127" s="30"/>
      <c r="G127" s="31"/>
    </row>
    <row r="128" spans="1:8" ht="12.5" x14ac:dyDescent="0.25">
      <c r="A128" s="30"/>
      <c r="B128" s="31"/>
      <c r="C128" s="30"/>
      <c r="D128" s="30"/>
      <c r="E128" s="31"/>
      <c r="F128" s="30"/>
      <c r="G128" s="31"/>
    </row>
    <row r="129" spans="1:7" ht="12.5" x14ac:dyDescent="0.25">
      <c r="A129" s="30"/>
      <c r="B129" s="31"/>
      <c r="C129" s="30"/>
      <c r="D129" s="30"/>
      <c r="E129" s="31"/>
      <c r="F129" s="30"/>
      <c r="G129" s="31"/>
    </row>
    <row r="130" spans="1:7" ht="12.5" x14ac:dyDescent="0.25">
      <c r="A130" s="30"/>
      <c r="B130" s="31"/>
      <c r="C130" s="30"/>
      <c r="D130" s="30"/>
      <c r="E130" s="31"/>
      <c r="F130" s="30"/>
      <c r="G130" s="31"/>
    </row>
    <row r="131" spans="1:7" ht="12.5" x14ac:dyDescent="0.25">
      <c r="A131" s="30"/>
      <c r="B131" s="31"/>
      <c r="C131" s="30"/>
      <c r="D131" s="30"/>
      <c r="E131" s="31"/>
      <c r="F131" s="30"/>
      <c r="G131" s="31"/>
    </row>
    <row r="132" spans="1:7" ht="12.5" x14ac:dyDescent="0.25">
      <c r="A132" s="30"/>
      <c r="B132" s="31"/>
      <c r="C132" s="30"/>
      <c r="D132" s="30"/>
      <c r="E132" s="31"/>
      <c r="F132" s="30"/>
      <c r="G132" s="31"/>
    </row>
    <row r="133" spans="1:7" ht="12.5" x14ac:dyDescent="0.25">
      <c r="A133" s="30"/>
      <c r="B133" s="31"/>
      <c r="C133" s="30"/>
      <c r="D133" s="30"/>
      <c r="E133" s="31"/>
      <c r="F133" s="30"/>
      <c r="G133" s="31"/>
    </row>
    <row r="134" spans="1:7" ht="12.5" x14ac:dyDescent="0.25">
      <c r="A134" s="30"/>
      <c r="B134" s="31"/>
      <c r="C134" s="30"/>
      <c r="D134" s="30"/>
      <c r="E134" s="31"/>
      <c r="F134" s="30"/>
      <c r="G134" s="31"/>
    </row>
    <row r="135" spans="1:7" ht="12.5" x14ac:dyDescent="0.25">
      <c r="A135" s="30"/>
      <c r="B135" s="31"/>
      <c r="C135" s="30"/>
      <c r="D135" s="30"/>
      <c r="E135" s="31"/>
      <c r="F135" s="30"/>
      <c r="G135" s="31"/>
    </row>
    <row r="136" spans="1:7" ht="12.5" x14ac:dyDescent="0.25">
      <c r="A136" s="30"/>
      <c r="B136" s="31"/>
      <c r="C136" s="30"/>
      <c r="D136" s="30"/>
      <c r="E136" s="31"/>
      <c r="F136" s="30"/>
      <c r="G136" s="31"/>
    </row>
    <row r="137" spans="1:7" ht="12.5" x14ac:dyDescent="0.25">
      <c r="A137" s="30"/>
      <c r="B137" s="31"/>
      <c r="C137" s="30"/>
      <c r="D137" s="30"/>
      <c r="E137" s="31"/>
      <c r="F137" s="30"/>
      <c r="G137" s="31"/>
    </row>
    <row r="138" spans="1:7" ht="12.5" x14ac:dyDescent="0.25">
      <c r="A138" s="1"/>
      <c r="C138" s="1"/>
      <c r="D138" s="1"/>
      <c r="F138" s="1"/>
    </row>
    <row r="139" spans="1:7" ht="12.5" x14ac:dyDescent="0.25">
      <c r="A139" s="1"/>
      <c r="C139" s="1"/>
      <c r="D139" s="1"/>
      <c r="F139" s="1"/>
    </row>
    <row r="140" spans="1:7" ht="12.5" x14ac:dyDescent="0.25">
      <c r="A140" s="1"/>
      <c r="C140" s="1"/>
      <c r="D140" s="1"/>
      <c r="F140" s="1"/>
    </row>
    <row r="141" spans="1:7" ht="12.5" x14ac:dyDescent="0.25">
      <c r="A141" s="1"/>
      <c r="C141" s="1"/>
      <c r="D141" s="1"/>
      <c r="F141" s="1"/>
    </row>
    <row r="142" spans="1:7" ht="12.5" x14ac:dyDescent="0.25">
      <c r="A142" s="1"/>
      <c r="C142" s="1"/>
      <c r="D142" s="1"/>
      <c r="F142" s="1"/>
    </row>
    <row r="143" spans="1:7" ht="12.5" x14ac:dyDescent="0.25">
      <c r="A143" s="1"/>
      <c r="C143" s="1"/>
      <c r="D143" s="1"/>
      <c r="F143" s="1"/>
    </row>
    <row r="144" spans="1:7" ht="12.5" x14ac:dyDescent="0.25">
      <c r="A144" s="1"/>
      <c r="C144" s="1"/>
      <c r="D144" s="1"/>
      <c r="F144" s="1"/>
    </row>
    <row r="145" spans="1:6" ht="12.5" x14ac:dyDescent="0.25">
      <c r="A145" s="1"/>
      <c r="C145" s="1"/>
      <c r="D145" s="1"/>
      <c r="F145" s="1"/>
    </row>
    <row r="146" spans="1:6" ht="12.5" x14ac:dyDescent="0.25">
      <c r="A146" s="1"/>
      <c r="C146" s="1"/>
      <c r="D146" s="1"/>
      <c r="F146" s="1"/>
    </row>
    <row r="147" spans="1:6" ht="12.5" x14ac:dyDescent="0.25">
      <c r="A147" s="1"/>
      <c r="C147" s="1"/>
      <c r="D147" s="1"/>
      <c r="F147" s="1"/>
    </row>
    <row r="148" spans="1:6" ht="12.5" x14ac:dyDescent="0.25">
      <c r="A148" s="1"/>
      <c r="C148" s="1"/>
      <c r="D148" s="1"/>
      <c r="F148" s="1"/>
    </row>
    <row r="149" spans="1:6" ht="12.5" x14ac:dyDescent="0.25">
      <c r="A149" s="1"/>
      <c r="C149" s="1"/>
      <c r="D149" s="1"/>
      <c r="F149" s="1"/>
    </row>
    <row r="150" spans="1:6" ht="12.5" x14ac:dyDescent="0.25">
      <c r="A150" s="1"/>
      <c r="C150" s="1"/>
      <c r="D150" s="1"/>
      <c r="F150" s="1"/>
    </row>
    <row r="151" spans="1:6" ht="12.5" x14ac:dyDescent="0.25">
      <c r="A151" s="1"/>
      <c r="C151" s="1"/>
      <c r="D151" s="1"/>
      <c r="F151" s="1"/>
    </row>
    <row r="152" spans="1:6" ht="12.5" x14ac:dyDescent="0.25">
      <c r="A152" s="1"/>
      <c r="C152" s="1"/>
      <c r="D152" s="1"/>
      <c r="F152" s="1"/>
    </row>
    <row r="153" spans="1:6" ht="12.5" x14ac:dyDescent="0.25">
      <c r="A153" s="1"/>
      <c r="C153" s="1"/>
      <c r="D153" s="1"/>
      <c r="F153" s="1"/>
    </row>
    <row r="154" spans="1:6" ht="12.5" x14ac:dyDescent="0.25">
      <c r="A154" s="1"/>
      <c r="C154" s="1"/>
      <c r="D154" s="1"/>
      <c r="F154" s="1"/>
    </row>
    <row r="155" spans="1:6" ht="12.5" x14ac:dyDescent="0.25">
      <c r="A155" s="1"/>
      <c r="C155" s="1"/>
      <c r="D155" s="1"/>
      <c r="F155" s="1"/>
    </row>
    <row r="156" spans="1:6" ht="12.5" x14ac:dyDescent="0.25">
      <c r="A156" s="1"/>
      <c r="C156" s="1"/>
      <c r="D156" s="1"/>
      <c r="F156" s="1"/>
    </row>
    <row r="157" spans="1:6" ht="12.5" x14ac:dyDescent="0.25">
      <c r="A157" s="1"/>
      <c r="C157" s="1"/>
      <c r="D157" s="1"/>
      <c r="F157" s="1"/>
    </row>
    <row r="158" spans="1:6" ht="12.5" x14ac:dyDescent="0.25">
      <c r="A158" s="1"/>
      <c r="C158" s="1"/>
      <c r="D158" s="1"/>
      <c r="F158" s="1"/>
    </row>
    <row r="159" spans="1:6" ht="12.5" x14ac:dyDescent="0.25">
      <c r="A159" s="1"/>
      <c r="C159" s="1"/>
      <c r="D159" s="1"/>
      <c r="F159" s="1"/>
    </row>
    <row r="160" spans="1:6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</sheetData>
  <autoFilter ref="A1:H124">
    <sortState ref="A2:H124">
      <sortCondition ref="A2:A124"/>
      <sortCondition ref="B2:B124"/>
      <sortCondition ref="D2:D124"/>
    </sortState>
  </autoFilter>
  <sortState ref="A2:H102">
    <sortCondition ref="A2:A102"/>
    <sortCondition ref="B2:B102"/>
    <sortCondition ref="D2:D102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206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208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2026-09-02T02:41:54Z</dcterms:modified>
</cp:coreProperties>
</file>