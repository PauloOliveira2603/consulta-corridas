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Base!$A$1:$H$163</definedName>
    <definedName name="_xlnm.Print_Area" localSheetId="0">Base!$A$1:$F$138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164" i="1" l="1"/>
  <c r="G164" i="1"/>
  <c r="H103" i="1" l="1"/>
  <c r="G103" i="1"/>
  <c r="H15" i="1"/>
  <c r="G15" i="1"/>
  <c r="H3" i="1"/>
  <c r="G3" i="1"/>
  <c r="H125" i="1"/>
  <c r="G125" i="1"/>
  <c r="H131" i="1"/>
  <c r="G131" i="1"/>
  <c r="H112" i="1"/>
  <c r="G112" i="1"/>
  <c r="H62" i="1" l="1"/>
  <c r="G62" i="1"/>
  <c r="H36" i="1"/>
  <c r="G36" i="1"/>
  <c r="H28" i="1"/>
  <c r="G28" i="1"/>
  <c r="H54" i="1"/>
  <c r="G54" i="1"/>
  <c r="H89" i="1"/>
  <c r="G89" i="1"/>
  <c r="H45" i="1"/>
  <c r="G45" i="1"/>
  <c r="H26" i="1"/>
  <c r="G26" i="1"/>
  <c r="H105" i="1"/>
  <c r="G105" i="1"/>
  <c r="H138" i="1"/>
  <c r="G138" i="1"/>
  <c r="H158" i="1" l="1"/>
  <c r="G158" i="1"/>
  <c r="H106" i="1"/>
  <c r="H77" i="1"/>
  <c r="H78" i="1"/>
  <c r="H101" i="1"/>
  <c r="H58" i="1" l="1"/>
  <c r="H55" i="1"/>
  <c r="H53" i="1"/>
  <c r="H57" i="1"/>
  <c r="H50" i="1"/>
  <c r="H86" i="1"/>
  <c r="G86" i="1"/>
  <c r="H150" i="1"/>
  <c r="G150" i="1"/>
  <c r="H42" i="1"/>
  <c r="G42" i="1"/>
  <c r="G163" i="1"/>
  <c r="H163" i="1"/>
  <c r="G31" i="1"/>
  <c r="H31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7" i="1"/>
  <c r="H27" i="1"/>
  <c r="G29" i="1"/>
  <c r="H29" i="1"/>
  <c r="G30" i="1"/>
  <c r="H30" i="1"/>
  <c r="G32" i="1"/>
  <c r="H32" i="1"/>
  <c r="G33" i="1"/>
  <c r="H33" i="1"/>
  <c r="G34" i="1"/>
  <c r="H34" i="1"/>
  <c r="G35" i="1"/>
  <c r="H35" i="1"/>
  <c r="G37" i="1"/>
  <c r="H37" i="1"/>
  <c r="G38" i="1"/>
  <c r="H38" i="1"/>
  <c r="G39" i="1"/>
  <c r="H39" i="1"/>
  <c r="G40" i="1"/>
  <c r="H40" i="1"/>
  <c r="G41" i="1"/>
  <c r="H41" i="1"/>
  <c r="G43" i="1"/>
  <c r="H43" i="1"/>
  <c r="G44" i="1"/>
  <c r="H44" i="1"/>
  <c r="G46" i="1"/>
  <c r="H46" i="1"/>
  <c r="G47" i="1"/>
  <c r="H47" i="1"/>
  <c r="G48" i="1"/>
  <c r="H48" i="1"/>
  <c r="G49" i="1"/>
  <c r="H49" i="1"/>
  <c r="G51" i="1"/>
  <c r="H51" i="1"/>
  <c r="G52" i="1"/>
  <c r="H52" i="1"/>
  <c r="G56" i="1"/>
  <c r="H56" i="1"/>
  <c r="G59" i="1"/>
  <c r="H59" i="1"/>
  <c r="G60" i="1"/>
  <c r="H60" i="1"/>
  <c r="G61" i="1"/>
  <c r="H61" i="1"/>
  <c r="G63" i="1"/>
  <c r="H63" i="1"/>
  <c r="G64" i="1"/>
  <c r="H64" i="1"/>
  <c r="G65" i="1"/>
  <c r="H65" i="1"/>
  <c r="G69" i="1"/>
  <c r="H69" i="1"/>
  <c r="G70" i="1"/>
  <c r="H70" i="1"/>
  <c r="G71" i="1"/>
  <c r="H71" i="1"/>
  <c r="G73" i="1"/>
  <c r="H73" i="1"/>
  <c r="G74" i="1"/>
  <c r="H74" i="1"/>
  <c r="G75" i="1"/>
  <c r="H75" i="1"/>
  <c r="G76" i="1"/>
  <c r="H76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7" i="1"/>
  <c r="H87" i="1"/>
  <c r="G88" i="1"/>
  <c r="H88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2" i="1"/>
  <c r="H102" i="1"/>
  <c r="G104" i="1"/>
  <c r="H104" i="1"/>
  <c r="G107" i="1"/>
  <c r="H107" i="1"/>
  <c r="G108" i="1"/>
  <c r="H108" i="1"/>
  <c r="G109" i="1"/>
  <c r="H109" i="1"/>
  <c r="G110" i="1"/>
  <c r="H110" i="1"/>
  <c r="G111" i="1"/>
  <c r="H111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6" i="1"/>
  <c r="H126" i="1"/>
  <c r="G127" i="1"/>
  <c r="H127" i="1"/>
  <c r="G128" i="1"/>
  <c r="H128" i="1"/>
  <c r="G129" i="1"/>
  <c r="H129" i="1"/>
  <c r="G130" i="1"/>
  <c r="H130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39" i="1"/>
  <c r="H139" i="1"/>
  <c r="G151" i="1"/>
  <c r="H151" i="1"/>
  <c r="G152" i="1"/>
  <c r="H152" i="1"/>
  <c r="G153" i="1"/>
  <c r="H153" i="1"/>
  <c r="G154" i="1"/>
  <c r="H154" i="1"/>
  <c r="G155" i="1"/>
  <c r="H155" i="1"/>
  <c r="G156" i="1"/>
  <c r="H156" i="1"/>
  <c r="G157" i="1"/>
  <c r="H157" i="1"/>
  <c r="G159" i="1"/>
  <c r="H159" i="1"/>
  <c r="G160" i="1"/>
  <c r="H160" i="1"/>
  <c r="G161" i="1"/>
  <c r="H161" i="1"/>
  <c r="G162" i="1"/>
  <c r="H162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<sst xmlns="http://schemas.openxmlformats.org/spreadsheetml/2006/main" count="626" uniqueCount="373">
  <si>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</si>
  <si>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</si>
  <si>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</si>
  <si>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</si>
  <si>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</si>
  <si>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</si>
  <si>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</si>
  <si>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</si>
  <si>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</si>
  <si>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</si>
  <si>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</si>
  <si>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</si>
  <si>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</si>
  <si>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</si>
  <si>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</si>
  <si>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</si>
  <si>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</si>
  <si>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</si>
  <si>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</si>
  <si>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</si>
  <si>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</si>
  <si>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</si>
  <si>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</si>
  <si>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</si>
  <si>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</si>
  <si>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</si>
  <si>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</si>
  <si>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</si>
  <si>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</si>
  <si>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</si>
  <si>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</si>
  <si>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</si>
  <si>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</si>
  <si>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</si>
  <si>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</si>
  <si>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</si>
  <si>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</si>
  <si>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</si>
  <si>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</si>
  <si>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</si>
  <si>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</si>
  <si>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</si>
  <si>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</si>
  <si>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</si>
  <si>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</si>
  <si>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</si>
  <si>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</si>
  <si>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</si>
  <si>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</si>
  <si>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</si>
  <si>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</si>
  <si>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</si>
  <si>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</si>
  <si>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</si>
  <si>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</si>
  <si>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</si>
  <si>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</si>
  <si>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</si>
  <si>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</si>
  <si>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</si>
  <si>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</si>
  <si>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</si>
  <si>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</si>
  <si>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</si>
  <si>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</si>
  <si>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</si>
  <si>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</si>
  <si>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</si>
  <si>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</si>
  <si>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</si>
  <si>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</si>
  <si>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</si>
  <si>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</si>
  <si>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</si>
  <si>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</si>
  <si>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</si>
  <si>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</si>
  <si>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</si>
  <si>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</si>
  <si>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</si>
  <si>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</si>
  <si>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</si>
  <si>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</si>
  <si>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</si>
  <si>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</si>
  <si>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</si>
  <si>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</si>
  <si>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</si>
  <si>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</si>
  <si>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</si>
  <si>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</si>
  <si>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</si>
  <si>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</si>
  <si>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</si>
  <si>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</si>
  <si>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</si>
  <si>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</si>
  <si>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</si>
  <si>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</si>
  <si>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</si>
  <si>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</si>
  <si>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</si>
  <si>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</si>
  <si>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</si>
  <si>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</si>
  <si>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</si>
  <si>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</si>
  <si>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</si>
  <si>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</si>
  <si>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</si>
  <si>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</si>
  <si>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</si>
  <si>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</si>
  <si>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</si>
  <si>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</si>
  <si>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</si>
  <si>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</si>
  <si>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</si>
  <si>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</si>
  <si>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</si>
  <si>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</si>
  <si>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</si>
  <si>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</si>
  <si>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</si>
  <si>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</si>
  <si>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</si>
  <si>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</si>
  <si>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</si>
  <si>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</si>
  <si>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</si>
  <si>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</si>
  <si>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</si>
  <si>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</si>
  <si>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</si>
  <si>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</si>
  <si>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</si>
  <si>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</si>
  <si>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</si>
  <si>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</si>
  <si>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</si>
  <si>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</si>
  <si>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</si>
  <si>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</si>
  <si>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</si>
  <si>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</si>
  <si>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</si>
  <si>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</si>
  <si>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</si>
  <si>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</si>
  <si>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</si>
  <si>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</si>
  <si>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</si>
  <si>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</si>
  <si>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</si>
  <si>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</si>
  <si>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</si>
  <si>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</si>
  <si>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</si>
  <si>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</si>
  <si>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</si>
  <si>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</si>
  <si>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</si>
  <si>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</si>
  <si>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</si>
  <si>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</si>
  <si>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</si>
  <si>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</si>
  <si>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</si>
  <si>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</si>
  <si>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</si>
  <si>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</si>
  <si>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</si>
  <si>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</si>
  <si>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</si>
  <si>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</si>
  <si>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</si>
  <si>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</si>
  <si>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</si>
  <si>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</si>
  <si>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</si>
  <si>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</si>
  <si>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</si>
  <si>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</si>
  <si>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</si>
  <si>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</si>
  <si>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</si>
  <si>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</si>
  <si>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</si>
  <si>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</si>
  <si>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</si>
  <si>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</si>
  <si>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</si>
  <si>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</si>
  <si>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</si>
  <si>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</si>
  <si>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</si>
  <si>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</si>
  <si>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</si>
  <si>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</si>
  <si>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</si>
  <si>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</si>
  <si>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</si>
  <si>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</si>
  <si>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</si>
  <si>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</si>
  <si>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</si>
  <si>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</si>
  <si>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</si>
  <si>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</si>
  <si>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</si>
  <si>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</si>
  <si>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</si>
  <si>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</si>
  <si>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</si>
  <si>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</si>
  <si>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</si>
  <si>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</si>
  <si>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</si>
  <si>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</si>
  <si>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</si>
  <si>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</si>
  <si>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</si>
  <si>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</si>
  <si>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</si>
  <si>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</si>
  <si>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</si>
  <si>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</si>
  <si>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</si>
  <si>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</si>
  <si>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</si>
  <si>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</si>
  <si>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</si>
  <si>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</si>
  <si>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</si>
  <si>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</si>
  <si>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</si>
  <si>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</si>
  <si>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</si>
  <si>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</si>
  <si>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</si>
  <si>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</si>
  <si>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</si>
  <si>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</si>
  <si>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</si>
  <si>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</si>
  <si>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</si>
  <si>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</si>
  <si>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</si>
  <si>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</si>
  <si>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</si>
  <si>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</si>
  <si>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</si>
  <si>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</si>
  <si>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</si>
  <si>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</si>
  <si>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</si>
  <si>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</si>
  <si>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</si>
  <si>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</si>
  <si>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</si>
  <si>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</si>
  <si>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</si>
  <si>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</si>
  <si>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</si>
  <si>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</si>
  <si>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</si>
  <si>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</si>
  <si>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</si>
  <si>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</si>
  <si>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</si>
  <si>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</si>
  <si>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</si>
  <si>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</si>
  <si>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</si>
  <si>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</si>
  <si>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</si>
  <si>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</si>
  <si>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</si>
  <si>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</si>
  <si>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</si>
  <si>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</si>
  <si>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</si>
  <si>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</si>
  <si>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</si>
  <si>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</si>
  <si>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</si>
  <si>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</si>
  <si>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</si>
  <si>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</si>
  <si>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</si>
  <si>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</si>
  <si>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</si>
  <si>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</si>
  <si>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</si>
  <si>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</si>
  <si>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</si>
  <si>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</si>
  <si>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</si>
  <si>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</si>
  <si>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</si>
  <si>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</si>
  <si>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</si>
  <si>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</si>
  <si>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</si>
  <si>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</si>
  <si>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</si>
  <si>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</si>
  <si>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</si>
  <si>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</si>
  <si>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</si>
  <si>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</si>
  <si>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</si>
  <si>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</si>
  <si>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</si>
  <si>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</si>
  <si>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</si>
  <si>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</si>
  <si>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</si>
  <si>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</si>
  <si>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</si>
  <si>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</si>
  <si>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</si>
  <si>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</si>
  <si>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</si>
  <si>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</si>
  <si>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</si>
  <si>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</si>
  <si>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</si>
  <si>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</si>
  <si>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</si>
  <si>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</si>
  <si>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</si>
  <si>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</si>
  <si>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</si>
  <si>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</si>
  <si>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</si>
  <si>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</si>
  <si>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</si>
  <si>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</si>
  <si>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</si>
  <si>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</si>
  <si>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</si>
  <si>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</si>
  <si>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</si>
  <si>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</si>
  <si>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</si>
  <si>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</si>
  <si>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</si>
  <si>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</si>
  <si>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</si>
  <si>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FREDERICO FAULHABER APÓS PIRPIRITUBA</t>
  </si>
  <si>
    <t>FREDERICO FAULHABER ANTES PIRPIRITUBA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</si>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</sst>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9"/>
  <sheetViews>
    <sheetView tabSelected="1" topLeftCell="A163" workbookViewId="0">
      <selection activeCell="A164" sqref="A164"/>
    </sheetView>
  </sheetViews>
  <sheetFormatPr defaultColWidth="12.6328125" defaultRowHeight="15.75" customHeight="1" x14ac:dyDescent="0.25"/>
  <cols>
    <col min="1" max="1" width="5.453125" customWidth="1"/>
    <col min="2" max="2" width="34.816406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 t="shared" ref="H2:H33" si="0">A2=C2</f>
        <v>1</v>
      </c>
    </row>
    <row r="3" spans="1:8" ht="12.5" x14ac:dyDescent="0.25">
      <c r="A3" s="26">
        <v>13</v>
      </c>
      <c r="B3" s="27" t="s">
        <v>365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 t="shared" si="0"/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 t="shared" si="0"/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 t="shared" si="0"/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 t="shared" si="0"/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 t="shared" si="0"/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 t="shared" si="0"/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 t="shared" si="0"/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 t="shared" si="0"/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 t="shared" si="0"/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 t="shared" si="0"/>
        <v>1</v>
      </c>
    </row>
    <row r="13" spans="1:8" ht="12.5" x14ac:dyDescent="0.25">
      <c r="A13" s="30">
        <v>13</v>
      </c>
      <c r="B13" s="31" t="s">
        <v>363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 t="shared" si="0"/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 t="shared" si="0"/>
        <v>1</v>
      </c>
    </row>
    <row r="15" spans="1:8" ht="12.5" x14ac:dyDescent="0.25">
      <c r="A15" s="30">
        <v>13</v>
      </c>
      <c r="B15" s="31" t="s">
        <v>366</v>
      </c>
      <c r="C15" s="32">
        <v>13</v>
      </c>
      <c r="D15" s="30" t="s">
        <v>14</v>
      </c>
      <c r="E15" s="31" t="s">
        <v>8</v>
      </c>
      <c r="F15" s="30" t="s">
        <v>367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 t="shared" si="0"/>
        <v>1</v>
      </c>
    </row>
    <row r="16" spans="1:8" ht="12.5" x14ac:dyDescent="0.25">
      <c r="A16" s="30">
        <v>13</v>
      </c>
      <c r="B16" s="31" t="s">
        <v>271</v>
      </c>
      <c r="C16" s="32">
        <v>13</v>
      </c>
      <c r="D16" s="30" t="s">
        <v>21</v>
      </c>
      <c r="E16" s="31" t="s">
        <v>270</v>
      </c>
      <c r="F16" s="30" t="s">
        <v>25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 t="shared" si="0"/>
        <v>1</v>
      </c>
    </row>
    <row r="17" spans="1:8" ht="12.5" x14ac:dyDescent="0.25">
      <c r="A17" s="30">
        <v>13</v>
      </c>
      <c r="B17" s="31" t="s">
        <v>13</v>
      </c>
      <c r="C17" s="32">
        <v>13</v>
      </c>
      <c r="D17" s="30" t="s">
        <v>14</v>
      </c>
      <c r="E17" s="31" t="s">
        <v>8</v>
      </c>
      <c r="F17" s="30" t="s">
        <v>15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 t="shared" si="0"/>
        <v>1</v>
      </c>
    </row>
    <row r="18" spans="1:8" ht="12.5" x14ac:dyDescent="0.25">
      <c r="A18" s="30">
        <v>13</v>
      </c>
      <c r="B18" s="31" t="s">
        <v>10</v>
      </c>
      <c r="C18" s="32">
        <v>13</v>
      </c>
      <c r="D18" s="30" t="s">
        <v>11</v>
      </c>
      <c r="E18" s="31" t="s">
        <v>8</v>
      </c>
      <c r="F18" s="30" t="s">
        <v>12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 t="shared" si="0"/>
        <v>1</v>
      </c>
    </row>
    <row r="19" spans="1:8" ht="12.5" x14ac:dyDescent="0.25">
      <c r="A19" s="30">
        <v>13</v>
      </c>
      <c r="B19" s="31" t="s">
        <v>6</v>
      </c>
      <c r="C19" s="32">
        <v>13</v>
      </c>
      <c r="D19" s="30" t="s">
        <v>7</v>
      </c>
      <c r="E19" s="31" t="s">
        <v>8</v>
      </c>
      <c r="F19" s="30" t="s">
        <v>9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 t="shared" si="0"/>
        <v>1</v>
      </c>
    </row>
    <row r="20" spans="1:8" ht="12.5" x14ac:dyDescent="0.25">
      <c r="A20" s="26">
        <v>15</v>
      </c>
      <c r="B20" s="27" t="s">
        <v>74</v>
      </c>
      <c r="C20" s="28">
        <v>15</v>
      </c>
      <c r="D20" s="26" t="s">
        <v>210</v>
      </c>
      <c r="E20" s="27" t="s">
        <v>305</v>
      </c>
      <c r="F20" s="26" t="s">
        <v>75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 t="shared" si="0"/>
        <v>1</v>
      </c>
    </row>
    <row r="21" spans="1:8" ht="12.5" x14ac:dyDescent="0.25">
      <c r="A21" s="26">
        <v>15</v>
      </c>
      <c r="B21" s="27" t="s">
        <v>72</v>
      </c>
      <c r="C21" s="28">
        <v>15</v>
      </c>
      <c r="D21" s="26" t="s">
        <v>209</v>
      </c>
      <c r="E21" s="27" t="s">
        <v>8</v>
      </c>
      <c r="F21" s="26" t="s">
        <v>73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 t="shared" si="0"/>
        <v>1</v>
      </c>
    </row>
    <row r="22" spans="1:8" ht="12.5" x14ac:dyDescent="0.25">
      <c r="A22" s="26">
        <v>15</v>
      </c>
      <c r="B22" s="27" t="s">
        <v>364</v>
      </c>
      <c r="C22" s="28">
        <v>15</v>
      </c>
      <c r="D22" s="26">
        <v>1</v>
      </c>
      <c r="E22" s="27" t="s">
        <v>8</v>
      </c>
      <c r="F22" s="26" t="s">
        <v>69</v>
      </c>
      <c r="G22" s="29" t="str">
        <f>IF(Consulta!$B$1="", "", IF(OR(IFERROR(SEARCH(Consulta!$B$1,B22),0)&gt;0,IFERROR(SEARCH(Consulta!$B$1,E22),0)&gt;0,IFERROR(SEARCH(Consulta!$B$1,F22),0)&gt;0), MAX($G$1:G19)+1, ""))</f>
        <v/>
      </c>
      <c r="H22" s="21" t="b">
        <f t="shared" si="0"/>
        <v>1</v>
      </c>
    </row>
    <row r="23" spans="1:8" ht="12.5" x14ac:dyDescent="0.25">
      <c r="A23" s="26">
        <v>15</v>
      </c>
      <c r="B23" s="27" t="s">
        <v>66</v>
      </c>
      <c r="C23" s="28">
        <v>15</v>
      </c>
      <c r="D23" s="26" t="s">
        <v>219</v>
      </c>
      <c r="E23" s="27" t="s">
        <v>8</v>
      </c>
      <c r="F23" s="26" t="s">
        <v>67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 t="shared" si="0"/>
        <v>1</v>
      </c>
    </row>
    <row r="24" spans="1:8" ht="12.5" x14ac:dyDescent="0.25">
      <c r="A24" s="26">
        <v>15</v>
      </c>
      <c r="B24" s="27" t="s">
        <v>64</v>
      </c>
      <c r="C24" s="28">
        <v>15</v>
      </c>
      <c r="D24" s="26" t="s">
        <v>206</v>
      </c>
      <c r="E24" s="27" t="s">
        <v>8</v>
      </c>
      <c r="F24" s="26" t="s">
        <v>65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 t="shared" si="0"/>
        <v>1</v>
      </c>
    </row>
    <row r="25" spans="1:8" ht="12.5" x14ac:dyDescent="0.25">
      <c r="A25" s="26">
        <v>15</v>
      </c>
      <c r="B25" s="27" t="s">
        <v>266</v>
      </c>
      <c r="C25" s="28">
        <v>15</v>
      </c>
      <c r="D25" s="26" t="s">
        <v>206</v>
      </c>
      <c r="E25" s="27" t="s">
        <v>267</v>
      </c>
      <c r="F25" s="26" t="s">
        <v>65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 t="shared" si="0"/>
        <v>1</v>
      </c>
    </row>
    <row r="26" spans="1:8" ht="12.5" x14ac:dyDescent="0.25">
      <c r="A26" s="26">
        <v>15</v>
      </c>
      <c r="B26" s="27" t="s">
        <v>345</v>
      </c>
      <c r="C26" s="28">
        <v>15</v>
      </c>
      <c r="D26" s="26">
        <v>2.5</v>
      </c>
      <c r="E26" s="27" t="s">
        <v>8</v>
      </c>
      <c r="F26" s="26" t="s">
        <v>346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 t="shared" si="0"/>
        <v>1</v>
      </c>
    </row>
    <row r="27" spans="1:8" ht="12.5" x14ac:dyDescent="0.25">
      <c r="A27" s="26">
        <v>15</v>
      </c>
      <c r="B27" s="27" t="s">
        <v>259</v>
      </c>
      <c r="C27" s="28">
        <v>15</v>
      </c>
      <c r="D27" s="26" t="s">
        <v>7</v>
      </c>
      <c r="E27" s="27" t="s">
        <v>8</v>
      </c>
      <c r="F27" s="26" t="s">
        <v>261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 t="shared" si="0"/>
        <v>1</v>
      </c>
    </row>
    <row r="28" spans="1:8" ht="12.5" x14ac:dyDescent="0.25">
      <c r="A28" s="26">
        <v>15</v>
      </c>
      <c r="B28" s="27" t="s">
        <v>351</v>
      </c>
      <c r="C28" s="28">
        <v>15</v>
      </c>
      <c r="D28" s="26">
        <v>2</v>
      </c>
      <c r="E28" s="27" t="s">
        <v>352</v>
      </c>
      <c r="F28" s="26" t="s">
        <v>348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 t="shared" si="0"/>
        <v>1</v>
      </c>
    </row>
    <row r="29" spans="1:8" ht="12.5" x14ac:dyDescent="0.25">
      <c r="A29" s="26">
        <v>15</v>
      </c>
      <c r="B29" s="27" t="s">
        <v>57</v>
      </c>
      <c r="C29" s="28">
        <v>15</v>
      </c>
      <c r="D29" s="26" t="s">
        <v>223</v>
      </c>
      <c r="E29" s="27" t="s">
        <v>8</v>
      </c>
      <c r="F29" s="26" t="s">
        <v>58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 t="shared" si="0"/>
        <v>1</v>
      </c>
    </row>
    <row r="30" spans="1:8" ht="12.5" x14ac:dyDescent="0.25">
      <c r="A30" s="26">
        <v>15</v>
      </c>
      <c r="B30" s="27" t="s">
        <v>268</v>
      </c>
      <c r="C30" s="28">
        <v>15</v>
      </c>
      <c r="D30" s="26" t="s">
        <v>205</v>
      </c>
      <c r="E30" s="27" t="s">
        <v>8</v>
      </c>
      <c r="F30" s="26" t="s">
        <v>56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 t="shared" si="0"/>
        <v>1</v>
      </c>
    </row>
    <row r="31" spans="1:8" ht="12.5" x14ac:dyDescent="0.25">
      <c r="A31" s="26">
        <v>15</v>
      </c>
      <c r="B31" s="27" t="s">
        <v>306</v>
      </c>
      <c r="C31" s="28">
        <v>15</v>
      </c>
      <c r="D31" s="26">
        <v>2.1</v>
      </c>
      <c r="E31" s="27" t="s">
        <v>8</v>
      </c>
      <c r="F31" s="26" t="s">
        <v>307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 t="shared" si="0"/>
        <v>1</v>
      </c>
    </row>
    <row r="32" spans="1:8" ht="12.5" x14ac:dyDescent="0.25">
      <c r="A32" s="26">
        <v>15</v>
      </c>
      <c r="B32" s="27" t="s">
        <v>54</v>
      </c>
      <c r="C32" s="28">
        <v>15</v>
      </c>
      <c r="D32" s="26" t="s">
        <v>204</v>
      </c>
      <c r="E32" s="27" t="s">
        <v>8</v>
      </c>
      <c r="F32" s="26" t="s">
        <v>55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 t="shared" si="0"/>
        <v>1</v>
      </c>
    </row>
    <row r="33" spans="1:8" ht="12.5" x14ac:dyDescent="0.25">
      <c r="A33" s="26">
        <v>15</v>
      </c>
      <c r="B33" s="27" t="s">
        <v>277</v>
      </c>
      <c r="C33" s="28">
        <v>15</v>
      </c>
      <c r="D33" s="26" t="s">
        <v>210</v>
      </c>
      <c r="E33" s="27" t="s">
        <v>8</v>
      </c>
      <c r="F33" s="26" t="s">
        <v>75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 t="shared" si="0"/>
        <v>1</v>
      </c>
    </row>
    <row r="34" spans="1:8" ht="12.5" x14ac:dyDescent="0.25">
      <c r="A34" s="26">
        <v>15</v>
      </c>
      <c r="B34" s="27" t="s">
        <v>260</v>
      </c>
      <c r="C34" s="28">
        <v>15</v>
      </c>
      <c r="D34" s="26" t="s">
        <v>21</v>
      </c>
      <c r="E34" s="27" t="s">
        <v>8</v>
      </c>
      <c r="F34" s="26" t="s">
        <v>262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 t="shared" ref="H34:H65" si="1">A34=C34</f>
        <v>1</v>
      </c>
    </row>
    <row r="35" spans="1:8" ht="12.5" x14ac:dyDescent="0.25">
      <c r="A35" s="26">
        <v>15</v>
      </c>
      <c r="B35" s="27" t="s">
        <v>292</v>
      </c>
      <c r="C35" s="28">
        <v>15</v>
      </c>
      <c r="D35" s="26">
        <v>2.2000000000000002</v>
      </c>
      <c r="E35" s="27" t="s">
        <v>8</v>
      </c>
      <c r="F35" s="26" t="s">
        <v>293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 t="shared" si="1"/>
        <v>1</v>
      </c>
    </row>
    <row r="36" spans="1:8" ht="12.5" x14ac:dyDescent="0.25">
      <c r="A36" s="26">
        <v>15</v>
      </c>
      <c r="B36" s="27" t="s">
        <v>354</v>
      </c>
      <c r="C36" s="28">
        <v>15</v>
      </c>
      <c r="D36" s="26">
        <v>1.5</v>
      </c>
      <c r="E36" s="27" t="s">
        <v>8</v>
      </c>
      <c r="F36" s="26" t="s">
        <v>355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 t="shared" si="1"/>
        <v>1</v>
      </c>
    </row>
    <row r="37" spans="1:8" ht="12.5" x14ac:dyDescent="0.25">
      <c r="A37" s="26">
        <v>15</v>
      </c>
      <c r="B37" s="27" t="s">
        <v>50</v>
      </c>
      <c r="C37" s="28">
        <v>15</v>
      </c>
      <c r="D37" s="26" t="s">
        <v>213</v>
      </c>
      <c r="E37" s="27" t="s">
        <v>8</v>
      </c>
      <c r="F37" s="26" t="s">
        <v>51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 t="shared" si="1"/>
        <v>1</v>
      </c>
    </row>
    <row r="38" spans="1:8" ht="12.5" x14ac:dyDescent="0.25">
      <c r="A38" s="26">
        <v>15</v>
      </c>
      <c r="B38" s="27" t="s">
        <v>46</v>
      </c>
      <c r="C38" s="28">
        <v>15</v>
      </c>
      <c r="D38" s="26" t="s">
        <v>233</v>
      </c>
      <c r="E38" s="27" t="s">
        <v>8</v>
      </c>
      <c r="F38" s="26" t="s">
        <v>47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 t="shared" si="1"/>
        <v>1</v>
      </c>
    </row>
    <row r="39" spans="1:8" ht="12.5" x14ac:dyDescent="0.25">
      <c r="A39" s="26">
        <v>15</v>
      </c>
      <c r="B39" s="27" t="s">
        <v>44</v>
      </c>
      <c r="C39" s="28">
        <v>15</v>
      </c>
      <c r="D39" s="26" t="s">
        <v>225</v>
      </c>
      <c r="E39" s="27" t="s">
        <v>8</v>
      </c>
      <c r="F39" s="26" t="s">
        <v>45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 t="shared" si="1"/>
        <v>1</v>
      </c>
    </row>
    <row r="40" spans="1:8" ht="12.5" x14ac:dyDescent="0.25">
      <c r="A40" s="26">
        <v>15</v>
      </c>
      <c r="B40" s="27" t="s">
        <v>42</v>
      </c>
      <c r="C40" s="28">
        <v>15</v>
      </c>
      <c r="D40" s="26" t="s">
        <v>206</v>
      </c>
      <c r="E40" s="27" t="s">
        <v>8</v>
      </c>
      <c r="F40" s="26" t="s">
        <v>43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 t="shared" si="1"/>
        <v>1</v>
      </c>
    </row>
    <row r="41" spans="1:8" ht="12.5" x14ac:dyDescent="0.25">
      <c r="A41" s="26">
        <v>15</v>
      </c>
      <c r="B41" s="27" t="s">
        <v>40</v>
      </c>
      <c r="C41" s="28">
        <v>15</v>
      </c>
      <c r="D41" s="26" t="s">
        <v>212</v>
      </c>
      <c r="E41" s="27" t="s">
        <v>8</v>
      </c>
      <c r="F41" s="26" t="s">
        <v>41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 t="shared" si="1"/>
        <v>1</v>
      </c>
    </row>
    <row r="42" spans="1:8" ht="12.5" x14ac:dyDescent="0.25">
      <c r="A42" s="26">
        <v>15</v>
      </c>
      <c r="B42" s="27" t="s">
        <v>308</v>
      </c>
      <c r="C42" s="28">
        <v>15</v>
      </c>
      <c r="D42" s="26">
        <v>2.2000000000000002</v>
      </c>
      <c r="E42" s="27" t="s">
        <v>8</v>
      </c>
      <c r="F42" s="26" t="s">
        <v>293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 t="shared" si="1"/>
        <v>1</v>
      </c>
    </row>
    <row r="43" spans="1:8" ht="12.5" x14ac:dyDescent="0.25">
      <c r="A43" s="26">
        <v>15</v>
      </c>
      <c r="B43" s="27" t="s">
        <v>244</v>
      </c>
      <c r="C43" s="28">
        <v>15</v>
      </c>
      <c r="D43" s="26">
        <v>2.1</v>
      </c>
      <c r="E43" s="27" t="s">
        <v>245</v>
      </c>
      <c r="F43" s="26" t="s">
        <v>202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 t="shared" si="1"/>
        <v>1</v>
      </c>
    </row>
    <row r="44" spans="1:8" ht="12.5" x14ac:dyDescent="0.25">
      <c r="A44" s="26">
        <v>15</v>
      </c>
      <c r="B44" s="27" t="s">
        <v>38</v>
      </c>
      <c r="C44" s="28">
        <v>15</v>
      </c>
      <c r="D44" s="26" t="s">
        <v>211</v>
      </c>
      <c r="E44" s="27" t="s">
        <v>8</v>
      </c>
      <c r="F44" s="26" t="s">
        <v>39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 t="shared" si="1"/>
        <v>1</v>
      </c>
    </row>
    <row r="45" spans="1:8" ht="12.5" x14ac:dyDescent="0.25">
      <c r="A45" s="26">
        <v>15</v>
      </c>
      <c r="B45" s="27" t="s">
        <v>341</v>
      </c>
      <c r="C45" s="28">
        <v>15</v>
      </c>
      <c r="D45" s="26">
        <v>1.4</v>
      </c>
      <c r="E45" s="27" t="s">
        <v>8</v>
      </c>
      <c r="F45" s="26" t="s">
        <v>347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 t="shared" si="1"/>
        <v>1</v>
      </c>
    </row>
    <row r="46" spans="1:8" ht="12.5" x14ac:dyDescent="0.25">
      <c r="A46" s="26">
        <v>15</v>
      </c>
      <c r="B46" s="27" t="s">
        <v>34</v>
      </c>
      <c r="C46" s="28">
        <v>15</v>
      </c>
      <c r="D46" s="26" t="s">
        <v>210</v>
      </c>
      <c r="E46" s="27" t="s">
        <v>8</v>
      </c>
      <c r="F46" s="26" t="s">
        <v>35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 t="shared" si="1"/>
        <v>1</v>
      </c>
    </row>
    <row r="47" spans="1:8" ht="12.5" x14ac:dyDescent="0.25">
      <c r="A47" s="26">
        <v>15</v>
      </c>
      <c r="B47" s="27" t="s">
        <v>280</v>
      </c>
      <c r="C47" s="28">
        <v>15</v>
      </c>
      <c r="D47" s="26" t="s">
        <v>209</v>
      </c>
      <c r="E47" s="27" t="s">
        <v>267</v>
      </c>
      <c r="F47" s="26" t="s">
        <v>33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 t="shared" si="1"/>
        <v>1</v>
      </c>
    </row>
    <row r="48" spans="1:8" ht="12.5" x14ac:dyDescent="0.25">
      <c r="A48" s="33">
        <v>17</v>
      </c>
      <c r="B48" s="34" t="s">
        <v>70</v>
      </c>
      <c r="C48" s="35">
        <v>17</v>
      </c>
      <c r="D48" s="33" t="s">
        <v>214</v>
      </c>
      <c r="E48" s="34" t="s">
        <v>8</v>
      </c>
      <c r="F48" s="33" t="s">
        <v>71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 t="shared" si="1"/>
        <v>1</v>
      </c>
    </row>
    <row r="49" spans="1:8" ht="12.5" x14ac:dyDescent="0.25">
      <c r="A49" s="33">
        <v>17</v>
      </c>
      <c r="B49" s="34" t="s">
        <v>281</v>
      </c>
      <c r="C49" s="35">
        <v>17</v>
      </c>
      <c r="D49" s="33" t="s">
        <v>222</v>
      </c>
      <c r="E49" s="34" t="s">
        <v>60</v>
      </c>
      <c r="F49" s="33" t="s">
        <v>68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 t="shared" si="1"/>
        <v>1</v>
      </c>
    </row>
    <row r="50" spans="1:8" ht="12.5" x14ac:dyDescent="0.25">
      <c r="A50" s="26">
        <v>17</v>
      </c>
      <c r="B50" s="27" t="s">
        <v>313</v>
      </c>
      <c r="C50" s="28">
        <v>17</v>
      </c>
      <c r="D50" s="26">
        <v>1.7</v>
      </c>
      <c r="E50" s="27" t="s">
        <v>60</v>
      </c>
      <c r="F50" s="26" t="s">
        <v>319</v>
      </c>
      <c r="G50" s="29"/>
      <c r="H50" s="21" t="b">
        <f t="shared" si="1"/>
        <v>1</v>
      </c>
    </row>
    <row r="51" spans="1:8" ht="12.5" x14ac:dyDescent="0.25">
      <c r="A51" s="33">
        <v>17</v>
      </c>
      <c r="B51" s="34" t="s">
        <v>62</v>
      </c>
      <c r="C51" s="35">
        <v>17</v>
      </c>
      <c r="D51" s="33" t="s">
        <v>215</v>
      </c>
      <c r="E51" s="34" t="s">
        <v>8</v>
      </c>
      <c r="F51" s="33" t="s">
        <v>63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 t="shared" si="1"/>
        <v>1</v>
      </c>
    </row>
    <row r="52" spans="1:8" ht="12.5" x14ac:dyDescent="0.25">
      <c r="A52" s="33">
        <v>17</v>
      </c>
      <c r="B52" s="34" t="s">
        <v>59</v>
      </c>
      <c r="C52" s="35">
        <v>17</v>
      </c>
      <c r="D52" s="33" t="s">
        <v>216</v>
      </c>
      <c r="E52" s="34" t="s">
        <v>60</v>
      </c>
      <c r="F52" s="33" t="s">
        <v>61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 t="shared" si="1"/>
        <v>1</v>
      </c>
    </row>
    <row r="53" spans="1:8" ht="12.5" x14ac:dyDescent="0.25">
      <c r="A53" s="26">
        <v>17</v>
      </c>
      <c r="B53" s="27" t="s">
        <v>315</v>
      </c>
      <c r="C53" s="28">
        <v>17</v>
      </c>
      <c r="D53" s="26">
        <v>3</v>
      </c>
      <c r="E53" s="27" t="s">
        <v>60</v>
      </c>
      <c r="F53" s="26" t="s">
        <v>321</v>
      </c>
      <c r="G53" s="29"/>
      <c r="H53" s="21" t="b">
        <f t="shared" si="1"/>
        <v>1</v>
      </c>
    </row>
    <row r="54" spans="1:8" ht="12.5" x14ac:dyDescent="0.25">
      <c r="A54" s="26">
        <v>17</v>
      </c>
      <c r="B54" s="27" t="s">
        <v>340</v>
      </c>
      <c r="C54" s="28">
        <v>17</v>
      </c>
      <c r="D54" s="26">
        <v>3.3</v>
      </c>
      <c r="E54" s="27" t="s">
        <v>8</v>
      </c>
      <c r="F54" s="26" t="s">
        <v>349</v>
      </c>
      <c r="G54" s="29" t="str">
        <f>IF(Consulta!$B$1="", "", IF(OR(IFERROR(SEARCH(Consulta!$B$1,B54),0)&gt;0,IFERROR(SEARCH(Consulta!$B$1,E54),0)&gt;0,IFERROR(SEARCH(Consulta!$B$1,F54),0)&gt;0), MAX($G$1:G52)+1, ""))</f>
        <v/>
      </c>
      <c r="H54" s="21" t="b">
        <f t="shared" si="1"/>
        <v>1</v>
      </c>
    </row>
    <row r="55" spans="1:8" ht="12.5" x14ac:dyDescent="0.25">
      <c r="A55" s="26">
        <v>17</v>
      </c>
      <c r="B55" s="27" t="s">
        <v>316</v>
      </c>
      <c r="C55" s="28">
        <v>17</v>
      </c>
      <c r="D55" s="26">
        <v>1.9</v>
      </c>
      <c r="E55" s="27" t="s">
        <v>60</v>
      </c>
      <c r="F55" s="26" t="s">
        <v>322</v>
      </c>
      <c r="G55" s="29"/>
      <c r="H55" s="21" t="b">
        <f t="shared" si="1"/>
        <v>1</v>
      </c>
    </row>
    <row r="56" spans="1:8" ht="12.5" x14ac:dyDescent="0.25">
      <c r="A56" s="36">
        <v>17</v>
      </c>
      <c r="B56" s="37" t="s">
        <v>289</v>
      </c>
      <c r="C56" s="38">
        <v>17</v>
      </c>
      <c r="D56" s="36" t="s">
        <v>219</v>
      </c>
      <c r="E56" s="37" t="s">
        <v>60</v>
      </c>
      <c r="F56" s="36" t="s">
        <v>111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 t="shared" si="1"/>
        <v>1</v>
      </c>
    </row>
    <row r="57" spans="1:8" ht="12.5" x14ac:dyDescent="0.25">
      <c r="A57" s="26">
        <v>17</v>
      </c>
      <c r="B57" s="27" t="s">
        <v>314</v>
      </c>
      <c r="C57" s="28">
        <v>17</v>
      </c>
      <c r="D57" s="26">
        <v>2.5</v>
      </c>
      <c r="E57" s="27" t="s">
        <v>60</v>
      </c>
      <c r="F57" s="26" t="s">
        <v>320</v>
      </c>
      <c r="G57" s="29"/>
      <c r="H57" s="21" t="b">
        <f t="shared" si="1"/>
        <v>1</v>
      </c>
    </row>
    <row r="58" spans="1:8" ht="12.5" x14ac:dyDescent="0.25">
      <c r="A58" s="26">
        <v>17</v>
      </c>
      <c r="B58" s="27" t="s">
        <v>317</v>
      </c>
      <c r="C58" s="28">
        <v>17</v>
      </c>
      <c r="D58" s="26">
        <v>2</v>
      </c>
      <c r="E58" s="27" t="s">
        <v>60</v>
      </c>
      <c r="F58" s="26" t="s">
        <v>323</v>
      </c>
      <c r="G58" s="29"/>
      <c r="H58" s="21" t="b">
        <f t="shared" si="1"/>
        <v>1</v>
      </c>
    </row>
    <row r="59" spans="1:8" ht="12.5" x14ac:dyDescent="0.25">
      <c r="A59" s="36">
        <v>17</v>
      </c>
      <c r="B59" s="37" t="s">
        <v>106</v>
      </c>
      <c r="C59" s="38">
        <v>17</v>
      </c>
      <c r="D59" s="36" t="s">
        <v>220</v>
      </c>
      <c r="E59" s="37" t="s">
        <v>8</v>
      </c>
      <c r="F59" s="36" t="s">
        <v>107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 t="shared" si="1"/>
        <v>1</v>
      </c>
    </row>
    <row r="60" spans="1:8" ht="12.5" x14ac:dyDescent="0.25">
      <c r="A60" s="36">
        <v>17</v>
      </c>
      <c r="B60" s="37" t="s">
        <v>303</v>
      </c>
      <c r="C60" s="38">
        <v>17</v>
      </c>
      <c r="D60" s="36" t="s">
        <v>229</v>
      </c>
      <c r="E60" s="37" t="s">
        <v>304</v>
      </c>
      <c r="F60" s="36" t="s">
        <v>105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 t="shared" si="1"/>
        <v>1</v>
      </c>
    </row>
    <row r="61" spans="1:8" ht="12.5" x14ac:dyDescent="0.25">
      <c r="A61" s="33">
        <v>17</v>
      </c>
      <c r="B61" s="34" t="s">
        <v>52</v>
      </c>
      <c r="C61" s="35">
        <v>17</v>
      </c>
      <c r="D61" s="33" t="s">
        <v>207</v>
      </c>
      <c r="E61" s="34" t="s">
        <v>8</v>
      </c>
      <c r="F61" s="33" t="s">
        <v>53</v>
      </c>
      <c r="G61" s="29" t="str">
        <f>IF(Consulta!$B$1="", "", IF(OR(IFERROR(SEARCH(Consulta!$B$1,B61),0)&gt;0,IFERROR(SEARCH(Consulta!$B$1,E61),0)&gt;0,IFERROR(SEARCH(Consulta!$B$1,F61),0)&gt;0), MAX($G$1:G56)+1, ""))</f>
        <v/>
      </c>
      <c r="H61" s="21" t="b">
        <f t="shared" si="1"/>
        <v>1</v>
      </c>
    </row>
    <row r="62" spans="1:8" ht="12.5" x14ac:dyDescent="0.25">
      <c r="A62" s="26">
        <v>17</v>
      </c>
      <c r="B62" s="27" t="s">
        <v>370</v>
      </c>
      <c r="C62" s="28">
        <v>17</v>
      </c>
      <c r="D62" s="26">
        <v>1.8</v>
      </c>
      <c r="E62" s="27" t="s">
        <v>8</v>
      </c>
      <c r="F62" s="26" t="s">
        <v>356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 t="shared" si="1"/>
        <v>1</v>
      </c>
    </row>
    <row r="63" spans="1:8" ht="12.5" x14ac:dyDescent="0.25">
      <c r="A63" s="33">
        <v>17</v>
      </c>
      <c r="B63" s="34" t="s">
        <v>48</v>
      </c>
      <c r="C63" s="35">
        <v>17</v>
      </c>
      <c r="D63" s="33" t="s">
        <v>211</v>
      </c>
      <c r="E63" s="34" t="s">
        <v>8</v>
      </c>
      <c r="F63" s="33" t="s">
        <v>49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 t="shared" si="1"/>
        <v>1</v>
      </c>
    </row>
    <row r="64" spans="1:8" ht="12.5" x14ac:dyDescent="0.25">
      <c r="A64" s="36">
        <v>17</v>
      </c>
      <c r="B64" s="37" t="s">
        <v>97</v>
      </c>
      <c r="C64" s="38">
        <v>17</v>
      </c>
      <c r="D64" s="36" t="s">
        <v>219</v>
      </c>
      <c r="E64" s="37" t="s">
        <v>8</v>
      </c>
      <c r="F64" s="36" t="s">
        <v>98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 t="shared" si="1"/>
        <v>1</v>
      </c>
    </row>
    <row r="65" spans="1:8" ht="12.5" x14ac:dyDescent="0.25">
      <c r="A65" s="36">
        <v>17</v>
      </c>
      <c r="B65" s="37" t="s">
        <v>93</v>
      </c>
      <c r="C65" s="38">
        <v>17</v>
      </c>
      <c r="D65" s="36" t="s">
        <v>217</v>
      </c>
      <c r="E65" s="37" t="s">
        <v>8</v>
      </c>
      <c r="F65" s="36" t="s">
        <v>94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 t="shared" si="1"/>
        <v>1</v>
      </c>
    </row>
    <row r="66" spans="1:8" ht="12.5" x14ac:dyDescent="0.25">
      <c r="A66" s="33">
        <v>17</v>
      </c>
      <c r="B66" s="34" t="s">
        <v>327</v>
      </c>
      <c r="C66" s="35">
        <v>17</v>
      </c>
      <c r="D66" s="33">
        <v>1.9</v>
      </c>
      <c r="E66" s="34" t="s">
        <v>60</v>
      </c>
      <c r="F66" s="33" t="s">
        <v>329</v>
      </c>
      <c r="G66" s="29" t="s">
        <v>326</v>
      </c>
      <c r="H66" s="21" t="b">
        <v>1</v>
      </c>
    </row>
    <row r="67" spans="1:8" ht="12.5" x14ac:dyDescent="0.25">
      <c r="A67" s="33">
        <v>17</v>
      </c>
      <c r="B67" s="34" t="s">
        <v>325</v>
      </c>
      <c r="C67" s="35">
        <v>17</v>
      </c>
      <c r="D67" s="33">
        <v>1.9</v>
      </c>
      <c r="E67" s="34" t="s">
        <v>60</v>
      </c>
      <c r="F67" s="33" t="s">
        <v>329</v>
      </c>
      <c r="G67" s="29" t="s">
        <v>326</v>
      </c>
      <c r="H67" s="21" t="b">
        <v>1</v>
      </c>
    </row>
    <row r="68" spans="1:8" ht="12.5" x14ac:dyDescent="0.25">
      <c r="A68" s="33">
        <v>17</v>
      </c>
      <c r="B68" s="34" t="s">
        <v>328</v>
      </c>
      <c r="C68" s="35">
        <v>17</v>
      </c>
      <c r="D68" s="33">
        <v>1.9</v>
      </c>
      <c r="E68" s="34" t="s">
        <v>60</v>
      </c>
      <c r="F68" s="33" t="s">
        <v>329</v>
      </c>
      <c r="G68" s="29" t="s">
        <v>326</v>
      </c>
      <c r="H68" s="21" t="b">
        <v>1</v>
      </c>
    </row>
    <row r="69" spans="1:8" ht="12.5" x14ac:dyDescent="0.25">
      <c r="A69" s="33">
        <v>17</v>
      </c>
      <c r="B69" s="34" t="s">
        <v>36</v>
      </c>
      <c r="C69" s="35">
        <v>17</v>
      </c>
      <c r="D69" s="33" t="s">
        <v>214</v>
      </c>
      <c r="E69" s="34" t="s">
        <v>8</v>
      </c>
      <c r="F69" s="33" t="s">
        <v>37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6">
        <v>17</v>
      </c>
      <c r="B70" s="37" t="s">
        <v>83</v>
      </c>
      <c r="C70" s="38">
        <v>17</v>
      </c>
      <c r="D70" s="36" t="s">
        <v>219</v>
      </c>
      <c r="E70" s="37" t="s">
        <v>8</v>
      </c>
      <c r="F70" s="36" t="s">
        <v>84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3">
        <v>17</v>
      </c>
      <c r="B71" s="34" t="s">
        <v>31</v>
      </c>
      <c r="C71" s="35">
        <v>17</v>
      </c>
      <c r="D71" s="33" t="s">
        <v>208</v>
      </c>
      <c r="E71" s="34" t="s">
        <v>8</v>
      </c>
      <c r="F71" s="33" t="s">
        <v>32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3">
        <v>17</v>
      </c>
      <c r="B72" s="34" t="s">
        <v>29</v>
      </c>
      <c r="C72" s="35">
        <v>17</v>
      </c>
      <c r="D72" s="33" t="s">
        <v>207</v>
      </c>
      <c r="E72" s="34" t="s">
        <v>8</v>
      </c>
      <c r="F72" s="33" t="s">
        <v>30</v>
      </c>
      <c r="G72" s="29" t="s">
        <v>326</v>
      </c>
      <c r="H72" s="21" t="b">
        <v>1</v>
      </c>
    </row>
    <row r="73" spans="1:8" ht="12.5" x14ac:dyDescent="0.25">
      <c r="A73" s="30">
        <v>20</v>
      </c>
      <c r="B73" s="31" t="s">
        <v>146</v>
      </c>
      <c r="C73" s="32">
        <v>20</v>
      </c>
      <c r="D73" s="30" t="s">
        <v>206</v>
      </c>
      <c r="E73" s="31" t="s">
        <v>8</v>
      </c>
      <c r="F73" s="30" t="s">
        <v>147</v>
      </c>
      <c r="G73" s="29" t="str">
        <f>IF(Consulta!$B$1="", "", IF(OR(IFERROR(SEARCH(Consulta!$B$1,B73),0)&gt;0,IFERROR(SEARCH(Consulta!$B$1,E73),0)&gt;0,IFERROR(SEARCH(Consulta!$B$1,F73),0)&gt;0), MAX($G$1:G69)+1, ""))</f>
        <v/>
      </c>
      <c r="H73" s="21" t="b">
        <f t="shared" ref="H73:H104" si="2">A73=C73</f>
        <v>1</v>
      </c>
    </row>
    <row r="74" spans="1:8" ht="12.5" x14ac:dyDescent="0.25">
      <c r="A74" s="30">
        <v>20</v>
      </c>
      <c r="B74" s="31" t="s">
        <v>144</v>
      </c>
      <c r="C74" s="32">
        <v>20</v>
      </c>
      <c r="D74" s="30" t="s">
        <v>209</v>
      </c>
      <c r="E74" s="31" t="s">
        <v>8</v>
      </c>
      <c r="F74" s="30" t="s">
        <v>145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 t="shared" si="2"/>
        <v>1</v>
      </c>
    </row>
    <row r="75" spans="1:8" ht="12.5" x14ac:dyDescent="0.25">
      <c r="A75" s="30">
        <v>20</v>
      </c>
      <c r="B75" s="31" t="s">
        <v>142</v>
      </c>
      <c r="C75" s="32">
        <v>20</v>
      </c>
      <c r="D75" s="30" t="s">
        <v>211</v>
      </c>
      <c r="E75" s="31" t="s">
        <v>8</v>
      </c>
      <c r="F75" s="30" t="s">
        <v>143</v>
      </c>
      <c r="G75" s="29" t="str">
        <f>IF(Consulta!$B$1="", "", IF(OR(IFERROR(SEARCH(Consulta!$B$1,B75),0)&gt;0,IFERROR(SEARCH(Consulta!$B$1,E75),0)&gt;0,IFERROR(SEARCH(Consulta!$B$1,F75),0)&gt;0), MAX($G$1:G73)+1, ""))</f>
        <v/>
      </c>
      <c r="H75" s="21" t="b">
        <f t="shared" si="2"/>
        <v>1</v>
      </c>
    </row>
    <row r="76" spans="1:8" ht="12.5" x14ac:dyDescent="0.25">
      <c r="A76" s="30">
        <v>20</v>
      </c>
      <c r="B76" s="31" t="s">
        <v>140</v>
      </c>
      <c r="C76" s="32">
        <v>20</v>
      </c>
      <c r="D76" s="30" t="s">
        <v>216</v>
      </c>
      <c r="E76" s="31" t="s">
        <v>305</v>
      </c>
      <c r="F76" s="30" t="s">
        <v>141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 t="shared" si="2"/>
        <v>1</v>
      </c>
    </row>
    <row r="77" spans="1:8" ht="12.5" x14ac:dyDescent="0.25">
      <c r="A77" s="36">
        <v>20</v>
      </c>
      <c r="B77" s="37" t="s">
        <v>333</v>
      </c>
      <c r="C77" s="38">
        <v>20</v>
      </c>
      <c r="D77" s="36">
        <v>3.4</v>
      </c>
      <c r="E77" s="37" t="s">
        <v>336</v>
      </c>
      <c r="F77" s="36" t="s">
        <v>334</v>
      </c>
      <c r="G77" s="29"/>
      <c r="H77" s="21" t="b">
        <f t="shared" si="2"/>
        <v>1</v>
      </c>
    </row>
    <row r="78" spans="1:8" ht="12.5" x14ac:dyDescent="0.25">
      <c r="A78" s="36">
        <v>20</v>
      </c>
      <c r="B78" s="37" t="s">
        <v>331</v>
      </c>
      <c r="C78" s="38">
        <v>20</v>
      </c>
      <c r="D78" s="36">
        <v>3.3</v>
      </c>
      <c r="E78" s="37" t="s">
        <v>336</v>
      </c>
      <c r="F78" s="36" t="s">
        <v>332</v>
      </c>
      <c r="G78" s="29"/>
      <c r="H78" s="21" t="b">
        <f t="shared" si="2"/>
        <v>1</v>
      </c>
    </row>
    <row r="79" spans="1:8" ht="12.5" x14ac:dyDescent="0.25">
      <c r="A79" s="30">
        <v>20</v>
      </c>
      <c r="B79" s="31" t="s">
        <v>138</v>
      </c>
      <c r="C79" s="32">
        <v>20</v>
      </c>
      <c r="D79" s="30" t="s">
        <v>223</v>
      </c>
      <c r="E79" s="31" t="s">
        <v>8</v>
      </c>
      <c r="F79" s="30" t="s">
        <v>139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 t="shared" si="2"/>
        <v>1</v>
      </c>
    </row>
    <row r="80" spans="1:8" ht="12.5" x14ac:dyDescent="0.25">
      <c r="A80" s="30">
        <v>20</v>
      </c>
      <c r="B80" s="31" t="s">
        <v>255</v>
      </c>
      <c r="C80" s="32">
        <v>20</v>
      </c>
      <c r="D80" s="30" t="s">
        <v>225</v>
      </c>
      <c r="E80" s="31" t="s">
        <v>8</v>
      </c>
      <c r="F80" s="30" t="s">
        <v>256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 t="shared" si="2"/>
        <v>1</v>
      </c>
    </row>
    <row r="81" spans="1:8" ht="12.5" x14ac:dyDescent="0.25">
      <c r="A81" s="30">
        <v>20</v>
      </c>
      <c r="B81" s="31" t="s">
        <v>254</v>
      </c>
      <c r="C81" s="32">
        <v>20</v>
      </c>
      <c r="D81" s="30">
        <v>4.2</v>
      </c>
      <c r="E81" s="31" t="s">
        <v>305</v>
      </c>
      <c r="F81" s="30">
        <v>21765430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 t="shared" si="2"/>
        <v>1</v>
      </c>
    </row>
    <row r="82" spans="1:8" ht="12.5" x14ac:dyDescent="0.25">
      <c r="A82" s="30">
        <v>20</v>
      </c>
      <c r="B82" s="31" t="s">
        <v>136</v>
      </c>
      <c r="C82" s="32">
        <v>20</v>
      </c>
      <c r="D82" s="30" t="s">
        <v>210</v>
      </c>
      <c r="E82" s="31" t="s">
        <v>8</v>
      </c>
      <c r="F82" s="30" t="s">
        <v>137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 t="shared" si="2"/>
        <v>1</v>
      </c>
    </row>
    <row r="83" spans="1:8" ht="12.5" x14ac:dyDescent="0.25">
      <c r="A83" s="30">
        <v>20</v>
      </c>
      <c r="B83" s="31" t="s">
        <v>265</v>
      </c>
      <c r="C83" s="32">
        <v>20</v>
      </c>
      <c r="D83" s="30" t="s">
        <v>222</v>
      </c>
      <c r="E83" s="31" t="s">
        <v>8</v>
      </c>
      <c r="F83" s="30" t="s">
        <v>135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 t="shared" si="2"/>
        <v>1</v>
      </c>
    </row>
    <row r="84" spans="1:8" ht="12.5" x14ac:dyDescent="0.25">
      <c r="A84" s="30">
        <v>20</v>
      </c>
      <c r="B84" s="31" t="s">
        <v>133</v>
      </c>
      <c r="C84" s="32">
        <v>20</v>
      </c>
      <c r="D84" s="30" t="s">
        <v>219</v>
      </c>
      <c r="E84" s="31" t="s">
        <v>305</v>
      </c>
      <c r="F84" s="30" t="s">
        <v>134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 t="shared" si="2"/>
        <v>1</v>
      </c>
    </row>
    <row r="85" spans="1:8" ht="12.5" x14ac:dyDescent="0.25">
      <c r="A85" s="30">
        <v>20</v>
      </c>
      <c r="B85" s="31" t="s">
        <v>130</v>
      </c>
      <c r="C85" s="32">
        <v>20</v>
      </c>
      <c r="D85" s="30" t="s">
        <v>214</v>
      </c>
      <c r="E85" s="31" t="s">
        <v>131</v>
      </c>
      <c r="F85" s="30" t="s">
        <v>132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 t="shared" si="2"/>
        <v>1</v>
      </c>
    </row>
    <row r="86" spans="1:8" ht="12.5" x14ac:dyDescent="0.25">
      <c r="A86" s="26">
        <v>20</v>
      </c>
      <c r="B86" s="27" t="s">
        <v>312</v>
      </c>
      <c r="C86" s="28">
        <v>20</v>
      </c>
      <c r="D86" s="26">
        <v>2.2000000000000002</v>
      </c>
      <c r="E86" s="27" t="s">
        <v>60</v>
      </c>
      <c r="F86" s="26" t="s">
        <v>318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 t="shared" si="2"/>
        <v>1</v>
      </c>
    </row>
    <row r="87" spans="1:8" ht="12.5" x14ac:dyDescent="0.25">
      <c r="A87" s="30">
        <v>20</v>
      </c>
      <c r="B87" s="31" t="s">
        <v>128</v>
      </c>
      <c r="C87" s="32">
        <v>20</v>
      </c>
      <c r="D87" s="30" t="s">
        <v>220</v>
      </c>
      <c r="E87" s="31" t="s">
        <v>8</v>
      </c>
      <c r="F87" s="30" t="s">
        <v>129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 t="shared" si="2"/>
        <v>1</v>
      </c>
    </row>
    <row r="88" spans="1:8" ht="12.5" x14ac:dyDescent="0.25">
      <c r="A88" s="30">
        <v>20</v>
      </c>
      <c r="B88" s="31" t="s">
        <v>126</v>
      </c>
      <c r="C88" s="32">
        <v>20</v>
      </c>
      <c r="D88" s="30" t="s">
        <v>234</v>
      </c>
      <c r="E88" s="31" t="s">
        <v>305</v>
      </c>
      <c r="F88" s="30" t="s">
        <v>127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 t="shared" si="2"/>
        <v>1</v>
      </c>
    </row>
    <row r="89" spans="1:8" ht="12.5" x14ac:dyDescent="0.25">
      <c r="A89" s="26">
        <v>20</v>
      </c>
      <c r="B89" s="27" t="s">
        <v>350</v>
      </c>
      <c r="C89" s="28">
        <v>20</v>
      </c>
      <c r="D89" s="26">
        <v>2.7</v>
      </c>
      <c r="E89" s="27" t="s">
        <v>245</v>
      </c>
      <c r="F89" s="26" t="s">
        <v>353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 t="shared" si="2"/>
        <v>1</v>
      </c>
    </row>
    <row r="90" spans="1:8" ht="12.5" x14ac:dyDescent="0.25">
      <c r="A90" s="30">
        <v>20</v>
      </c>
      <c r="B90" s="31" t="s">
        <v>124</v>
      </c>
      <c r="C90" s="32">
        <v>20</v>
      </c>
      <c r="D90" s="30" t="s">
        <v>230</v>
      </c>
      <c r="E90" s="31" t="s">
        <v>8</v>
      </c>
      <c r="F90" s="30" t="s">
        <v>125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 t="shared" si="2"/>
        <v>1</v>
      </c>
    </row>
    <row r="91" spans="1:8" ht="12.5" x14ac:dyDescent="0.25">
      <c r="A91" s="30">
        <v>20</v>
      </c>
      <c r="B91" s="31" t="s">
        <v>122</v>
      </c>
      <c r="C91" s="32">
        <v>20</v>
      </c>
      <c r="D91" s="30" t="s">
        <v>215</v>
      </c>
      <c r="E91" s="31" t="s">
        <v>8</v>
      </c>
      <c r="F91" s="30" t="s">
        <v>123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 t="shared" si="2"/>
        <v>1</v>
      </c>
    </row>
    <row r="92" spans="1:8" ht="12.5" x14ac:dyDescent="0.25">
      <c r="A92" s="30">
        <v>20</v>
      </c>
      <c r="B92" s="31" t="s">
        <v>120</v>
      </c>
      <c r="C92" s="32">
        <v>20</v>
      </c>
      <c r="D92" s="30" t="s">
        <v>223</v>
      </c>
      <c r="E92" s="31" t="s">
        <v>305</v>
      </c>
      <c r="F92" s="30" t="s">
        <v>121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 t="shared" si="2"/>
        <v>1</v>
      </c>
    </row>
    <row r="93" spans="1:8" ht="12.5" x14ac:dyDescent="0.25">
      <c r="A93" s="30">
        <v>20</v>
      </c>
      <c r="B93" s="31" t="s">
        <v>257</v>
      </c>
      <c r="C93" s="32">
        <v>20</v>
      </c>
      <c r="D93" s="30" t="s">
        <v>225</v>
      </c>
      <c r="E93" s="31" t="s">
        <v>8</v>
      </c>
      <c r="F93" s="30" t="s">
        <v>258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 t="shared" si="2"/>
        <v>1</v>
      </c>
    </row>
    <row r="94" spans="1:8" ht="12.5" x14ac:dyDescent="0.25">
      <c r="A94" s="30">
        <v>20</v>
      </c>
      <c r="B94" s="31" t="s">
        <v>118</v>
      </c>
      <c r="C94" s="32">
        <v>20</v>
      </c>
      <c r="D94" s="30" t="s">
        <v>227</v>
      </c>
      <c r="E94" s="31" t="s">
        <v>8</v>
      </c>
      <c r="F94" s="30" t="s">
        <v>119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 t="shared" si="2"/>
        <v>1</v>
      </c>
    </row>
    <row r="95" spans="1:8" ht="12.5" x14ac:dyDescent="0.25">
      <c r="A95" s="30">
        <v>20</v>
      </c>
      <c r="B95" s="31" t="s">
        <v>116</v>
      </c>
      <c r="C95" s="32">
        <v>20</v>
      </c>
      <c r="D95" s="30" t="s">
        <v>208</v>
      </c>
      <c r="E95" s="31" t="s">
        <v>8</v>
      </c>
      <c r="F95" s="30" t="s">
        <v>117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 t="shared" si="2"/>
        <v>1</v>
      </c>
    </row>
    <row r="96" spans="1:8" ht="12.5" x14ac:dyDescent="0.25">
      <c r="A96" s="30">
        <v>20</v>
      </c>
      <c r="B96" s="31" t="s">
        <v>114</v>
      </c>
      <c r="C96" s="32">
        <v>20</v>
      </c>
      <c r="D96" s="30" t="s">
        <v>212</v>
      </c>
      <c r="E96" s="31" t="s">
        <v>8</v>
      </c>
      <c r="F96" s="30" t="s">
        <v>115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 t="shared" si="2"/>
        <v>1</v>
      </c>
    </row>
    <row r="97" spans="1:8" ht="12.5" x14ac:dyDescent="0.25">
      <c r="A97" s="26">
        <v>20</v>
      </c>
      <c r="B97" s="27" t="s">
        <v>297</v>
      </c>
      <c r="C97" s="28">
        <v>20</v>
      </c>
      <c r="D97" s="26">
        <v>2.4</v>
      </c>
      <c r="E97" s="27" t="s">
        <v>299</v>
      </c>
      <c r="F97" s="26" t="s">
        <v>298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 t="shared" si="2"/>
        <v>1</v>
      </c>
    </row>
    <row r="98" spans="1:8" ht="12.5" x14ac:dyDescent="0.25">
      <c r="A98" s="30">
        <v>20</v>
      </c>
      <c r="B98" s="31" t="s">
        <v>112</v>
      </c>
      <c r="C98" s="32">
        <v>20</v>
      </c>
      <c r="D98" s="30" t="s">
        <v>219</v>
      </c>
      <c r="E98" s="31" t="s">
        <v>8</v>
      </c>
      <c r="F98" s="30" t="s">
        <v>113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 t="shared" si="2"/>
        <v>1</v>
      </c>
    </row>
    <row r="99" spans="1:8" ht="12.5" x14ac:dyDescent="0.25">
      <c r="A99" s="30">
        <v>20</v>
      </c>
      <c r="B99" s="31" t="s">
        <v>110</v>
      </c>
      <c r="C99" s="32">
        <v>20</v>
      </c>
      <c r="D99" s="30" t="s">
        <v>222</v>
      </c>
      <c r="E99" s="31" t="s">
        <v>299</v>
      </c>
      <c r="F99" s="30" t="s">
        <v>111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 t="shared" si="2"/>
        <v>1</v>
      </c>
    </row>
    <row r="100" spans="1:8" ht="12.5" x14ac:dyDescent="0.25">
      <c r="A100" s="30">
        <v>20</v>
      </c>
      <c r="B100" s="31" t="s">
        <v>108</v>
      </c>
      <c r="C100" s="32">
        <v>20</v>
      </c>
      <c r="D100" s="30" t="s">
        <v>218</v>
      </c>
      <c r="E100" s="31" t="s">
        <v>8</v>
      </c>
      <c r="F100" s="30" t="s">
        <v>109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 t="shared" si="2"/>
        <v>1</v>
      </c>
    </row>
    <row r="101" spans="1:8" ht="12.5" x14ac:dyDescent="0.25">
      <c r="A101" s="36">
        <v>20</v>
      </c>
      <c r="B101" s="37" t="s">
        <v>330</v>
      </c>
      <c r="C101" s="38">
        <v>20</v>
      </c>
      <c r="D101" s="36">
        <v>3</v>
      </c>
      <c r="E101" s="37" t="s">
        <v>304</v>
      </c>
      <c r="F101" s="36" t="s">
        <v>105</v>
      </c>
      <c r="G101" s="29"/>
      <c r="H101" s="21" t="b">
        <f t="shared" si="2"/>
        <v>1</v>
      </c>
    </row>
    <row r="102" spans="1:8" ht="12.5" x14ac:dyDescent="0.25">
      <c r="A102" s="26">
        <v>20</v>
      </c>
      <c r="B102" s="27" t="s">
        <v>302</v>
      </c>
      <c r="C102" s="28">
        <v>20</v>
      </c>
      <c r="D102" s="26">
        <v>2.4</v>
      </c>
      <c r="E102" s="27" t="s">
        <v>299</v>
      </c>
      <c r="F102" s="26" t="s">
        <v>301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 t="shared" si="2"/>
        <v>1</v>
      </c>
    </row>
    <row r="103" spans="1:8" ht="12.5" x14ac:dyDescent="0.25">
      <c r="A103" s="30">
        <v>20</v>
      </c>
      <c r="B103" s="31" t="s">
        <v>368</v>
      </c>
      <c r="C103" s="32">
        <v>20</v>
      </c>
      <c r="D103" s="30">
        <v>2.4</v>
      </c>
      <c r="E103" s="31" t="s">
        <v>60</v>
      </c>
      <c r="F103" s="30" t="s">
        <v>369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 t="shared" si="2"/>
        <v>1</v>
      </c>
    </row>
    <row r="104" spans="1:8" ht="12.5" x14ac:dyDescent="0.25">
      <c r="A104" s="30">
        <v>20</v>
      </c>
      <c r="B104" s="31" t="s">
        <v>103</v>
      </c>
      <c r="C104" s="32">
        <v>20</v>
      </c>
      <c r="D104" s="30" t="s">
        <v>214</v>
      </c>
      <c r="E104" s="31" t="s">
        <v>60</v>
      </c>
      <c r="F104" s="30" t="s">
        <v>104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 t="shared" si="2"/>
        <v>1</v>
      </c>
    </row>
    <row r="105" spans="1:8" ht="12.5" x14ac:dyDescent="0.25">
      <c r="A105" s="26">
        <v>20</v>
      </c>
      <c r="B105" s="27" t="s">
        <v>339</v>
      </c>
      <c r="C105" s="28">
        <v>20</v>
      </c>
      <c r="D105" s="26">
        <v>2.5</v>
      </c>
      <c r="E105" s="27" t="s">
        <v>81</v>
      </c>
      <c r="F105" s="26" t="s">
        <v>344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 t="shared" ref="H105:H136" si="3">A105=C105</f>
        <v>1</v>
      </c>
    </row>
    <row r="106" spans="1:8" ht="12.5" x14ac:dyDescent="0.25">
      <c r="A106" s="36">
        <v>20</v>
      </c>
      <c r="B106" s="37" t="s">
        <v>335</v>
      </c>
      <c r="C106" s="38">
        <v>20</v>
      </c>
      <c r="D106" s="36">
        <v>3.2</v>
      </c>
      <c r="E106" s="37" t="s">
        <v>336</v>
      </c>
      <c r="F106" s="36" t="s">
        <v>332</v>
      </c>
      <c r="G106" s="29"/>
      <c r="H106" s="21" t="b">
        <f t="shared" si="3"/>
        <v>1</v>
      </c>
    </row>
    <row r="107" spans="1:8" ht="12.5" x14ac:dyDescent="0.25">
      <c r="A107" s="30">
        <v>20</v>
      </c>
      <c r="B107" s="31" t="s">
        <v>101</v>
      </c>
      <c r="C107" s="32">
        <v>20</v>
      </c>
      <c r="D107" s="30" t="s">
        <v>207</v>
      </c>
      <c r="E107" s="31" t="s">
        <v>8</v>
      </c>
      <c r="F107" s="30" t="s">
        <v>102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 t="shared" si="3"/>
        <v>1</v>
      </c>
    </row>
    <row r="108" spans="1:8" ht="12.5" x14ac:dyDescent="0.25">
      <c r="A108" s="30">
        <v>20</v>
      </c>
      <c r="B108" s="31" t="s">
        <v>263</v>
      </c>
      <c r="C108" s="32">
        <v>20</v>
      </c>
      <c r="D108" s="30">
        <v>6.2</v>
      </c>
      <c r="E108" s="31" t="s">
        <v>8</v>
      </c>
      <c r="F108" s="30" t="s">
        <v>264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 t="shared" si="3"/>
        <v>1</v>
      </c>
    </row>
    <row r="109" spans="1:8" ht="12.5" x14ac:dyDescent="0.25">
      <c r="A109" s="30">
        <v>20</v>
      </c>
      <c r="B109" s="31" t="s">
        <v>99</v>
      </c>
      <c r="C109" s="32">
        <v>20</v>
      </c>
      <c r="D109" s="30" t="s">
        <v>215</v>
      </c>
      <c r="E109" s="31" t="s">
        <v>299</v>
      </c>
      <c r="F109" s="30" t="s">
        <v>100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 t="shared" si="3"/>
        <v>1</v>
      </c>
    </row>
    <row r="110" spans="1:8" ht="12.5" x14ac:dyDescent="0.25">
      <c r="A110" s="26">
        <v>20</v>
      </c>
      <c r="B110" s="27" t="s">
        <v>300</v>
      </c>
      <c r="C110" s="28">
        <v>20</v>
      </c>
      <c r="D110" s="26">
        <v>2.4</v>
      </c>
      <c r="E110" s="27" t="s">
        <v>299</v>
      </c>
      <c r="F110" s="26" t="s">
        <v>301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 t="shared" si="3"/>
        <v>1</v>
      </c>
    </row>
    <row r="111" spans="1:8" ht="12.5" x14ac:dyDescent="0.25">
      <c r="A111" s="30">
        <v>20</v>
      </c>
      <c r="B111" s="31" t="s">
        <v>95</v>
      </c>
      <c r="C111" s="32">
        <v>20</v>
      </c>
      <c r="D111" s="30" t="s">
        <v>216</v>
      </c>
      <c r="E111" s="31" t="s">
        <v>8</v>
      </c>
      <c r="F111" s="30" t="s">
        <v>96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 t="shared" si="3"/>
        <v>1</v>
      </c>
    </row>
    <row r="112" spans="1:8" ht="12.5" x14ac:dyDescent="0.25">
      <c r="A112" s="26">
        <v>20</v>
      </c>
      <c r="B112" s="27" t="s">
        <v>357</v>
      </c>
      <c r="C112" s="28">
        <v>20</v>
      </c>
      <c r="D112" s="26">
        <v>2.4</v>
      </c>
      <c r="E112" s="27" t="s">
        <v>81</v>
      </c>
      <c r="F112" s="26" t="s">
        <v>358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 t="shared" si="3"/>
        <v>1</v>
      </c>
    </row>
    <row r="113" spans="1:8" ht="12.5" x14ac:dyDescent="0.25">
      <c r="A113" s="30">
        <v>20</v>
      </c>
      <c r="B113" s="31" t="s">
        <v>91</v>
      </c>
      <c r="C113" s="32">
        <v>20</v>
      </c>
      <c r="D113" s="30" t="s">
        <v>218</v>
      </c>
      <c r="E113" s="31" t="s">
        <v>8</v>
      </c>
      <c r="F113" s="30" t="s">
        <v>92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 t="shared" si="3"/>
        <v>1</v>
      </c>
    </row>
    <row r="114" spans="1:8" ht="12.5" x14ac:dyDescent="0.25">
      <c r="A114" s="30">
        <v>20</v>
      </c>
      <c r="B114" s="31" t="s">
        <v>89</v>
      </c>
      <c r="C114" s="32">
        <v>20</v>
      </c>
      <c r="D114" s="30" t="s">
        <v>223</v>
      </c>
      <c r="E114" s="31" t="s">
        <v>8</v>
      </c>
      <c r="F114" s="30" t="s">
        <v>90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 t="shared" si="3"/>
        <v>1</v>
      </c>
    </row>
    <row r="115" spans="1:8" ht="12.5" x14ac:dyDescent="0.25">
      <c r="A115" s="30">
        <v>20</v>
      </c>
      <c r="B115" s="31" t="s">
        <v>290</v>
      </c>
      <c r="C115" s="32">
        <v>20</v>
      </c>
      <c r="D115" s="30">
        <v>1.8</v>
      </c>
      <c r="E115" s="31" t="s">
        <v>291</v>
      </c>
      <c r="F115" s="30" t="s">
        <v>90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 t="shared" si="3"/>
        <v>1</v>
      </c>
    </row>
    <row r="116" spans="1:8" ht="12.5" x14ac:dyDescent="0.25">
      <c r="A116" s="30">
        <v>20</v>
      </c>
      <c r="B116" s="31" t="s">
        <v>87</v>
      </c>
      <c r="C116" s="32">
        <v>20</v>
      </c>
      <c r="D116" s="30" t="s">
        <v>222</v>
      </c>
      <c r="E116" s="31" t="s">
        <v>8</v>
      </c>
      <c r="F116" s="30" t="s">
        <v>88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 t="shared" si="3"/>
        <v>1</v>
      </c>
    </row>
    <row r="117" spans="1:8" ht="12.5" x14ac:dyDescent="0.25">
      <c r="A117" s="30">
        <v>20</v>
      </c>
      <c r="B117" s="31" t="s">
        <v>85</v>
      </c>
      <c r="C117" s="32">
        <v>20</v>
      </c>
      <c r="D117" s="30" t="s">
        <v>220</v>
      </c>
      <c r="E117" s="31" t="s">
        <v>8</v>
      </c>
      <c r="F117" s="30" t="s">
        <v>86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 t="shared" si="3"/>
        <v>1</v>
      </c>
    </row>
    <row r="118" spans="1:8" ht="12.5" x14ac:dyDescent="0.25">
      <c r="A118" s="30">
        <v>20</v>
      </c>
      <c r="B118" s="31" t="s">
        <v>80</v>
      </c>
      <c r="C118" s="32">
        <v>20</v>
      </c>
      <c r="D118" s="30" t="s">
        <v>218</v>
      </c>
      <c r="E118" s="31" t="s">
        <v>81</v>
      </c>
      <c r="F118" s="30" t="s">
        <v>82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 t="shared" si="3"/>
        <v>1</v>
      </c>
    </row>
    <row r="119" spans="1:8" ht="12.5" x14ac:dyDescent="0.25">
      <c r="A119" s="30">
        <v>20</v>
      </c>
      <c r="B119" s="31" t="s">
        <v>78</v>
      </c>
      <c r="C119" s="32">
        <v>20</v>
      </c>
      <c r="D119" s="30" t="s">
        <v>217</v>
      </c>
      <c r="E119" s="31" t="s">
        <v>8</v>
      </c>
      <c r="F119" s="30" t="s">
        <v>79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 t="shared" si="3"/>
        <v>1</v>
      </c>
    </row>
    <row r="120" spans="1:8" ht="12.5" x14ac:dyDescent="0.25">
      <c r="A120" s="30">
        <v>20</v>
      </c>
      <c r="B120" s="31" t="s">
        <v>76</v>
      </c>
      <c r="C120" s="32">
        <v>20</v>
      </c>
      <c r="D120" s="30" t="s">
        <v>216</v>
      </c>
      <c r="E120" s="31" t="s">
        <v>8</v>
      </c>
      <c r="F120" s="30" t="s">
        <v>77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 t="shared" si="3"/>
        <v>1</v>
      </c>
    </row>
    <row r="121" spans="1:8" ht="12.5" x14ac:dyDescent="0.25">
      <c r="A121" s="26">
        <v>25</v>
      </c>
      <c r="B121" s="27" t="s">
        <v>178</v>
      </c>
      <c r="C121" s="28">
        <v>25</v>
      </c>
      <c r="D121" s="26" t="s">
        <v>225</v>
      </c>
      <c r="E121" s="27" t="s">
        <v>8</v>
      </c>
      <c r="F121" s="26" t="s">
        <v>179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 t="shared" si="3"/>
        <v>1</v>
      </c>
    </row>
    <row r="122" spans="1:8" ht="12.5" x14ac:dyDescent="0.25">
      <c r="A122" s="26">
        <v>25</v>
      </c>
      <c r="B122" s="27" t="s">
        <v>176</v>
      </c>
      <c r="C122" s="28">
        <v>25</v>
      </c>
      <c r="D122" s="26" t="s">
        <v>237</v>
      </c>
      <c r="E122" s="27" t="s">
        <v>131</v>
      </c>
      <c r="F122" s="26" t="s">
        <v>177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 t="shared" si="3"/>
        <v>1</v>
      </c>
    </row>
    <row r="123" spans="1:8" ht="12.5" x14ac:dyDescent="0.25">
      <c r="A123" s="26">
        <v>25</v>
      </c>
      <c r="B123" s="27" t="s">
        <v>174</v>
      </c>
      <c r="C123" s="28">
        <v>25</v>
      </c>
      <c r="D123" s="26" t="s">
        <v>231</v>
      </c>
      <c r="E123" s="27" t="s">
        <v>131</v>
      </c>
      <c r="F123" s="26" t="s">
        <v>175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 t="shared" si="3"/>
        <v>1</v>
      </c>
    </row>
    <row r="124" spans="1:8" ht="12.5" x14ac:dyDescent="0.25">
      <c r="A124" s="26">
        <v>25</v>
      </c>
      <c r="B124" s="27" t="s">
        <v>173</v>
      </c>
      <c r="C124" s="28">
        <v>25</v>
      </c>
      <c r="D124" s="26" t="s">
        <v>224</v>
      </c>
      <c r="E124" s="27" t="s">
        <v>8</v>
      </c>
      <c r="F124" s="26" t="s">
        <v>324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 t="shared" si="3"/>
        <v>1</v>
      </c>
    </row>
    <row r="125" spans="1:8" ht="12.5" x14ac:dyDescent="0.25">
      <c r="A125" s="26">
        <v>25</v>
      </c>
      <c r="B125" s="27" t="s">
        <v>361</v>
      </c>
      <c r="C125" s="28">
        <v>25</v>
      </c>
      <c r="D125" s="26">
        <v>3</v>
      </c>
      <c r="E125" s="27" t="s">
        <v>8</v>
      </c>
      <c r="F125" s="26" t="s">
        <v>362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 t="shared" si="3"/>
        <v>1</v>
      </c>
    </row>
    <row r="126" spans="1:8" ht="12.5" x14ac:dyDescent="0.25">
      <c r="A126" s="26">
        <v>25</v>
      </c>
      <c r="B126" s="27" t="s">
        <v>172</v>
      </c>
      <c r="C126" s="28">
        <v>25</v>
      </c>
      <c r="D126" s="26">
        <v>2.7</v>
      </c>
      <c r="E126" s="27" t="s">
        <v>81</v>
      </c>
      <c r="F126" s="26" t="s">
        <v>338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 t="shared" si="3"/>
        <v>1</v>
      </c>
    </row>
    <row r="127" spans="1:8" ht="12.5" x14ac:dyDescent="0.25">
      <c r="A127" s="30">
        <v>25</v>
      </c>
      <c r="B127" s="31" t="s">
        <v>284</v>
      </c>
      <c r="C127" s="32">
        <v>25</v>
      </c>
      <c r="D127" s="30" t="s">
        <v>207</v>
      </c>
      <c r="E127" s="31" t="s">
        <v>283</v>
      </c>
      <c r="F127" s="30" t="s">
        <v>102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 t="shared" si="3"/>
        <v>1</v>
      </c>
    </row>
    <row r="128" spans="1:8" ht="12.5" x14ac:dyDescent="0.25">
      <c r="A128" s="30">
        <v>25</v>
      </c>
      <c r="B128" s="31" t="s">
        <v>282</v>
      </c>
      <c r="C128" s="32">
        <v>25</v>
      </c>
      <c r="D128" s="30" t="s">
        <v>207</v>
      </c>
      <c r="E128" s="31" t="s">
        <v>283</v>
      </c>
      <c r="F128" s="30" t="s">
        <v>102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 t="shared" si="3"/>
        <v>1</v>
      </c>
    </row>
    <row r="129" spans="1:8" ht="12.5" x14ac:dyDescent="0.25">
      <c r="A129" s="26">
        <v>25</v>
      </c>
      <c r="B129" s="27" t="s">
        <v>170</v>
      </c>
      <c r="C129" s="28">
        <v>25</v>
      </c>
      <c r="D129" s="26" t="s">
        <v>234</v>
      </c>
      <c r="E129" s="27" t="s">
        <v>245</v>
      </c>
      <c r="F129" s="26" t="s">
        <v>171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 t="shared" si="3"/>
        <v>1</v>
      </c>
    </row>
    <row r="130" spans="1:8" ht="12.5" x14ac:dyDescent="0.25">
      <c r="A130" s="26">
        <v>25</v>
      </c>
      <c r="B130" s="27" t="s">
        <v>168</v>
      </c>
      <c r="C130" s="28">
        <v>25</v>
      </c>
      <c r="D130" s="26" t="s">
        <v>217</v>
      </c>
      <c r="E130" s="27" t="s">
        <v>8</v>
      </c>
      <c r="F130" s="26" t="s">
        <v>169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 t="shared" si="3"/>
        <v>1</v>
      </c>
    </row>
    <row r="131" spans="1:8" ht="12.5" x14ac:dyDescent="0.25">
      <c r="A131" s="26">
        <v>25</v>
      </c>
      <c r="B131" s="27" t="s">
        <v>359</v>
      </c>
      <c r="C131" s="28">
        <v>25</v>
      </c>
      <c r="D131" s="26">
        <v>3.4</v>
      </c>
      <c r="E131" s="27" t="s">
        <v>8</v>
      </c>
      <c r="F131" s="26" t="s">
        <v>360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 t="shared" si="3"/>
        <v>1</v>
      </c>
    </row>
    <row r="132" spans="1:8" ht="12.5" x14ac:dyDescent="0.25">
      <c r="A132" s="30">
        <v>25</v>
      </c>
      <c r="B132" s="31" t="s">
        <v>278</v>
      </c>
      <c r="C132" s="32">
        <v>25</v>
      </c>
      <c r="D132" s="30" t="s">
        <v>207</v>
      </c>
      <c r="E132" s="31" t="s">
        <v>8</v>
      </c>
      <c r="F132" s="30" t="s">
        <v>102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 t="shared" si="3"/>
        <v>1</v>
      </c>
    </row>
    <row r="133" spans="1:8" ht="12.5" x14ac:dyDescent="0.25">
      <c r="A133" s="26">
        <v>25</v>
      </c>
      <c r="B133" s="27" t="s">
        <v>166</v>
      </c>
      <c r="C133" s="28">
        <v>25</v>
      </c>
      <c r="D133" s="26" t="s">
        <v>221</v>
      </c>
      <c r="E133" s="27" t="s">
        <v>131</v>
      </c>
      <c r="F133" s="26" t="s">
        <v>167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 t="shared" si="3"/>
        <v>1</v>
      </c>
    </row>
    <row r="134" spans="1:8" ht="12.5" x14ac:dyDescent="0.25">
      <c r="A134" s="26">
        <v>25</v>
      </c>
      <c r="B134" s="27" t="s">
        <v>164</v>
      </c>
      <c r="C134" s="28">
        <v>25</v>
      </c>
      <c r="D134" s="26" t="s">
        <v>229</v>
      </c>
      <c r="E134" s="27" t="s">
        <v>131</v>
      </c>
      <c r="F134" s="26" t="s">
        <v>165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 t="shared" si="3"/>
        <v>1</v>
      </c>
    </row>
    <row r="135" spans="1:8" ht="12.5" x14ac:dyDescent="0.25">
      <c r="A135" s="26">
        <v>25</v>
      </c>
      <c r="B135" s="27" t="s">
        <v>162</v>
      </c>
      <c r="C135" s="28">
        <v>25</v>
      </c>
      <c r="D135" s="26" t="s">
        <v>232</v>
      </c>
      <c r="E135" s="27" t="s">
        <v>81</v>
      </c>
      <c r="F135" s="26" t="s">
        <v>163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 t="shared" si="3"/>
        <v>1</v>
      </c>
    </row>
    <row r="136" spans="1:8" ht="12.5" x14ac:dyDescent="0.25">
      <c r="A136" s="26">
        <v>25</v>
      </c>
      <c r="B136" s="27" t="s">
        <v>160</v>
      </c>
      <c r="C136" s="28">
        <v>25</v>
      </c>
      <c r="D136" s="26" t="s">
        <v>236</v>
      </c>
      <c r="E136" s="27" t="s">
        <v>81</v>
      </c>
      <c r="F136" s="26" t="s">
        <v>161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 t="shared" si="3"/>
        <v>1</v>
      </c>
    </row>
    <row r="137" spans="1:8" ht="12.5" x14ac:dyDescent="0.25">
      <c r="A137" s="26">
        <v>25</v>
      </c>
      <c r="B137" s="27" t="s">
        <v>158</v>
      </c>
      <c r="C137" s="28">
        <v>25</v>
      </c>
      <c r="D137" s="26" t="s">
        <v>228</v>
      </c>
      <c r="E137" s="27" t="s">
        <v>81</v>
      </c>
      <c r="F137" s="26" t="s">
        <v>159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 t="shared" ref="H137:H163" si="4">A137=C137</f>
        <v>1</v>
      </c>
    </row>
    <row r="138" spans="1:8" ht="12.5" x14ac:dyDescent="0.25">
      <c r="A138" s="26">
        <v>25</v>
      </c>
      <c r="B138" s="27" t="s">
        <v>342</v>
      </c>
      <c r="C138" s="28">
        <v>25</v>
      </c>
      <c r="D138" s="26">
        <v>3.4</v>
      </c>
      <c r="E138" s="27" t="s">
        <v>81</v>
      </c>
      <c r="F138" s="26" t="s">
        <v>343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 t="shared" si="4"/>
        <v>1</v>
      </c>
    </row>
    <row r="139" spans="1:8" ht="12.5" x14ac:dyDescent="0.25">
      <c r="A139" s="26">
        <v>25</v>
      </c>
      <c r="B139" s="27" t="s">
        <v>310</v>
      </c>
      <c r="C139" s="28">
        <v>25</v>
      </c>
      <c r="D139" s="26">
        <v>3.9</v>
      </c>
      <c r="E139" s="27" t="s">
        <v>309</v>
      </c>
      <c r="F139" s="26" t="s">
        <v>311</v>
      </c>
      <c r="G139" s="29" t="str">
        <f>IF(Consulta!$B$1="", "", IF(OR(IFERROR(SEARCH(Consulta!$B$1,B139),0)&gt;0,IFERROR(SEARCH(Consulta!$B$1,E139),0)&gt;0,IFERROR(SEARCH(Consulta!$B$1,F139),0)&gt;0), MAX($G$1:G137)+1, ""))</f>
        <v/>
      </c>
      <c r="H139" s="21" t="b">
        <f t="shared" si="4"/>
        <v>1</v>
      </c>
    </row>
    <row r="140" spans="1:8" ht="12.5" x14ac:dyDescent="0.25">
      <c r="A140" s="26">
        <v>25</v>
      </c>
      <c r="B140" s="27" t="s">
        <v>156</v>
      </c>
      <c r="C140" s="28">
        <v>25</v>
      </c>
      <c r="D140" s="26" t="s">
        <v>227</v>
      </c>
      <c r="E140" s="27" t="s">
        <v>81</v>
      </c>
      <c r="F140" s="26" t="s">
        <v>157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 t="shared" si="4"/>
        <v>1</v>
      </c>
    </row>
    <row r="141" spans="1:8" ht="12.5" x14ac:dyDescent="0.25">
      <c r="A141" s="26">
        <v>25</v>
      </c>
      <c r="B141" s="27" t="s">
        <v>154</v>
      </c>
      <c r="C141" s="28">
        <v>25</v>
      </c>
      <c r="D141" s="26" t="s">
        <v>224</v>
      </c>
      <c r="E141" s="27" t="s">
        <v>8</v>
      </c>
      <c r="F141" s="26" t="s">
        <v>155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 t="shared" si="4"/>
        <v>1</v>
      </c>
    </row>
    <row r="142" spans="1:8" ht="12.5" x14ac:dyDescent="0.25">
      <c r="A142" s="26">
        <v>25</v>
      </c>
      <c r="B142" s="27" t="s">
        <v>152</v>
      </c>
      <c r="C142" s="28">
        <v>25</v>
      </c>
      <c r="D142" s="26" t="s">
        <v>230</v>
      </c>
      <c r="E142" s="27" t="s">
        <v>131</v>
      </c>
      <c r="F142" s="26" t="s">
        <v>153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 t="shared" si="4"/>
        <v>1</v>
      </c>
    </row>
    <row r="143" spans="1:8" ht="12.5" x14ac:dyDescent="0.25">
      <c r="A143" s="26">
        <v>25</v>
      </c>
      <c r="B143" s="27" t="s">
        <v>247</v>
      </c>
      <c r="C143" s="28">
        <v>25</v>
      </c>
      <c r="D143" s="39" t="s">
        <v>229</v>
      </c>
      <c r="E143" s="27" t="s">
        <v>8</v>
      </c>
      <c r="F143" s="26" t="s">
        <v>248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 t="shared" si="4"/>
        <v>1</v>
      </c>
    </row>
    <row r="144" spans="1:8" ht="12.5" x14ac:dyDescent="0.25">
      <c r="A144" s="26">
        <v>25</v>
      </c>
      <c r="B144" s="27" t="s">
        <v>150</v>
      </c>
      <c r="C144" s="28">
        <v>25</v>
      </c>
      <c r="D144" s="26" t="s">
        <v>235</v>
      </c>
      <c r="E144" s="27" t="s">
        <v>131</v>
      </c>
      <c r="F144" s="26" t="s">
        <v>151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 t="shared" si="4"/>
        <v>1</v>
      </c>
    </row>
    <row r="145" spans="1:8" ht="12.5" x14ac:dyDescent="0.25">
      <c r="A145" s="30">
        <v>25</v>
      </c>
      <c r="B145" s="31" t="s">
        <v>288</v>
      </c>
      <c r="C145" s="32">
        <v>25</v>
      </c>
      <c r="D145" s="30" t="s">
        <v>207</v>
      </c>
      <c r="E145" s="31" t="s">
        <v>283</v>
      </c>
      <c r="F145" s="30" t="s">
        <v>102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 t="shared" si="4"/>
        <v>1</v>
      </c>
    </row>
    <row r="146" spans="1:8" ht="12.5" x14ac:dyDescent="0.25">
      <c r="A146" s="30">
        <v>25</v>
      </c>
      <c r="B146" s="31" t="s">
        <v>286</v>
      </c>
      <c r="C146" s="32">
        <v>25</v>
      </c>
      <c r="D146" s="30" t="s">
        <v>207</v>
      </c>
      <c r="E146" s="31" t="s">
        <v>283</v>
      </c>
      <c r="F146" s="30" t="s">
        <v>102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 t="shared" si="4"/>
        <v>1</v>
      </c>
    </row>
    <row r="147" spans="1:8" ht="12.5" x14ac:dyDescent="0.25">
      <c r="A147" s="30">
        <v>25</v>
      </c>
      <c r="B147" s="31" t="s">
        <v>287</v>
      </c>
      <c r="C147" s="32">
        <v>25</v>
      </c>
      <c r="D147" s="30" t="s">
        <v>207</v>
      </c>
      <c r="E147" s="31" t="s">
        <v>283</v>
      </c>
      <c r="F147" s="30" t="s">
        <v>102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 t="shared" si="4"/>
        <v>1</v>
      </c>
    </row>
    <row r="148" spans="1:8" ht="12.5" x14ac:dyDescent="0.25">
      <c r="A148" s="26">
        <v>25</v>
      </c>
      <c r="B148" s="27" t="s">
        <v>252</v>
      </c>
      <c r="C148" s="28">
        <v>25</v>
      </c>
      <c r="D148" s="26">
        <v>2.5</v>
      </c>
      <c r="E148" s="27" t="s">
        <v>131</v>
      </c>
      <c r="F148" s="26" t="s">
        <v>253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 t="shared" si="4"/>
        <v>1</v>
      </c>
    </row>
    <row r="149" spans="1:8" ht="12.5" x14ac:dyDescent="0.25">
      <c r="A149" s="30">
        <v>25</v>
      </c>
      <c r="B149" s="31" t="s">
        <v>285</v>
      </c>
      <c r="C149" s="32">
        <v>25</v>
      </c>
      <c r="D149" s="30" t="s">
        <v>207</v>
      </c>
      <c r="E149" s="31" t="s">
        <v>283</v>
      </c>
      <c r="F149" s="30" t="s">
        <v>102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 t="shared" si="4"/>
        <v>1</v>
      </c>
    </row>
    <row r="150" spans="1:8" ht="12.5" x14ac:dyDescent="0.25">
      <c r="A150" s="26">
        <v>25</v>
      </c>
      <c r="B150" s="27" t="s">
        <v>148</v>
      </c>
      <c r="C150" s="28">
        <v>25</v>
      </c>
      <c r="D150" s="26" t="s">
        <v>226</v>
      </c>
      <c r="E150" s="27" t="s">
        <v>81</v>
      </c>
      <c r="F150" s="26" t="s">
        <v>149</v>
      </c>
      <c r="G150" s="29" t="str">
        <f>IF(Consulta!$B$1="", "", IF(OR(IFERROR(SEARCH(Consulta!$B$1,B150),0)&gt;0,IFERROR(SEARCH(Consulta!$B$1,E150),0)&gt;0,IFERROR(SEARCH(Consulta!$B$1,F150),0)&gt;0), MAX($G$1:G148)+1, ""))</f>
        <v/>
      </c>
      <c r="H150" s="21" t="b">
        <f t="shared" si="4"/>
        <v>1</v>
      </c>
    </row>
    <row r="151" spans="1:8" ht="12.5" x14ac:dyDescent="0.25">
      <c r="A151" s="30">
        <v>30</v>
      </c>
      <c r="B151" s="31" t="s">
        <v>192</v>
      </c>
      <c r="C151" s="32">
        <v>30</v>
      </c>
      <c r="D151" s="30" t="s">
        <v>232</v>
      </c>
      <c r="E151" s="31" t="s">
        <v>131</v>
      </c>
      <c r="F151" s="30" t="s">
        <v>193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 t="shared" si="4"/>
        <v>1</v>
      </c>
    </row>
    <row r="152" spans="1:8" ht="12.5" x14ac:dyDescent="0.25">
      <c r="A152" s="30">
        <v>30</v>
      </c>
      <c r="B152" s="31" t="s">
        <v>191</v>
      </c>
      <c r="C152" s="32">
        <v>30</v>
      </c>
      <c r="D152" s="30" t="s">
        <v>241</v>
      </c>
      <c r="E152" s="31" t="s">
        <v>131</v>
      </c>
      <c r="F152" s="30" t="s">
        <v>190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 t="shared" si="4"/>
        <v>1</v>
      </c>
    </row>
    <row r="153" spans="1:8" ht="12.5" x14ac:dyDescent="0.25">
      <c r="A153" s="30">
        <v>30</v>
      </c>
      <c r="B153" s="31" t="s">
        <v>189</v>
      </c>
      <c r="C153" s="32">
        <v>30</v>
      </c>
      <c r="D153" s="30" t="s">
        <v>240</v>
      </c>
      <c r="E153" s="31" t="s">
        <v>131</v>
      </c>
      <c r="F153" s="30" t="s">
        <v>190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 t="shared" si="4"/>
        <v>1</v>
      </c>
    </row>
    <row r="154" spans="1:8" ht="12.5" x14ac:dyDescent="0.25">
      <c r="A154" s="30">
        <v>30</v>
      </c>
      <c r="B154" s="31" t="s">
        <v>246</v>
      </c>
      <c r="C154" s="32">
        <v>30</v>
      </c>
      <c r="D154" s="30" t="s">
        <v>217</v>
      </c>
      <c r="E154" s="31" t="s">
        <v>8</v>
      </c>
      <c r="F154" s="30" t="s">
        <v>188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 t="shared" si="4"/>
        <v>1</v>
      </c>
    </row>
    <row r="155" spans="1:8" ht="12.5" x14ac:dyDescent="0.25">
      <c r="A155" s="30">
        <v>30</v>
      </c>
      <c r="B155" s="31" t="s">
        <v>186</v>
      </c>
      <c r="C155" s="32">
        <v>30</v>
      </c>
      <c r="D155" s="30" t="s">
        <v>229</v>
      </c>
      <c r="E155" s="31" t="s">
        <v>8</v>
      </c>
      <c r="F155" s="30" t="s">
        <v>187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 t="shared" si="4"/>
        <v>1</v>
      </c>
    </row>
    <row r="156" spans="1:8" ht="12.5" x14ac:dyDescent="0.25">
      <c r="A156" s="30">
        <v>30</v>
      </c>
      <c r="B156" s="31" t="s">
        <v>184</v>
      </c>
      <c r="C156" s="32">
        <v>30</v>
      </c>
      <c r="D156" s="30" t="s">
        <v>228</v>
      </c>
      <c r="E156" s="31" t="s">
        <v>81</v>
      </c>
      <c r="F156" s="30" t="s">
        <v>185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 t="shared" si="4"/>
        <v>1</v>
      </c>
    </row>
    <row r="157" spans="1:8" ht="12.5" x14ac:dyDescent="0.25">
      <c r="A157" s="30">
        <v>30</v>
      </c>
      <c r="B157" s="31" t="s">
        <v>182</v>
      </c>
      <c r="C157" s="32">
        <v>30</v>
      </c>
      <c r="D157" s="30" t="s">
        <v>239</v>
      </c>
      <c r="E157" s="31" t="s">
        <v>131</v>
      </c>
      <c r="F157" s="30" t="s">
        <v>183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 t="shared" si="4"/>
        <v>1</v>
      </c>
    </row>
    <row r="158" spans="1:8" ht="12.5" x14ac:dyDescent="0.25">
      <c r="A158" s="30">
        <v>30</v>
      </c>
      <c r="B158" s="31" t="s">
        <v>337</v>
      </c>
      <c r="C158" s="32">
        <v>30</v>
      </c>
      <c r="D158" s="30">
        <v>2.9</v>
      </c>
      <c r="E158" s="31" t="s">
        <v>81</v>
      </c>
      <c r="F158" s="30" t="s">
        <v>338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 t="shared" si="4"/>
        <v>1</v>
      </c>
    </row>
    <row r="159" spans="1:8" ht="12.5" x14ac:dyDescent="0.25">
      <c r="A159" s="30">
        <v>30</v>
      </c>
      <c r="B159" s="31" t="s">
        <v>180</v>
      </c>
      <c r="C159" s="32">
        <v>30</v>
      </c>
      <c r="D159" s="30" t="s">
        <v>238</v>
      </c>
      <c r="E159" s="31" t="s">
        <v>131</v>
      </c>
      <c r="F159" s="30" t="s">
        <v>181</v>
      </c>
      <c r="G159" s="29" t="str">
        <f>IF(Consulta!$B$1="", "", IF(OR(IFERROR(SEARCH(Consulta!$B$1,B159),0)&gt;0,IFERROR(SEARCH(Consulta!$B$1,E159),0)&gt;0,IFERROR(SEARCH(Consulta!$B$1,F159),0)&gt;0), MAX($G$1:G157)+1, ""))</f>
        <v/>
      </c>
      <c r="H159" s="21" t="b">
        <f t="shared" si="4"/>
        <v>1</v>
      </c>
    </row>
    <row r="160" spans="1:8" ht="12.5" x14ac:dyDescent="0.25">
      <c r="A160" s="26">
        <v>40</v>
      </c>
      <c r="B160" s="27" t="s">
        <v>197</v>
      </c>
      <c r="C160" s="28">
        <v>40</v>
      </c>
      <c r="D160" s="26" t="s">
        <v>243</v>
      </c>
      <c r="E160" s="27" t="s">
        <v>198</v>
      </c>
      <c r="F160" s="26" t="s">
        <v>199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 t="shared" si="4"/>
        <v>1</v>
      </c>
    </row>
    <row r="161" spans="1:8" ht="12.5" x14ac:dyDescent="0.25">
      <c r="A161" s="26">
        <v>40</v>
      </c>
      <c r="B161" s="27" t="s">
        <v>194</v>
      </c>
      <c r="C161" s="28">
        <v>40</v>
      </c>
      <c r="D161" s="26" t="s">
        <v>242</v>
      </c>
      <c r="E161" s="27" t="s">
        <v>195</v>
      </c>
      <c r="F161" s="26" t="s">
        <v>196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 t="shared" si="4"/>
        <v>1</v>
      </c>
    </row>
    <row r="162" spans="1:8" ht="12.5" x14ac:dyDescent="0.25">
      <c r="A162" s="26">
        <v>40</v>
      </c>
      <c r="B162" s="27" t="s">
        <v>249</v>
      </c>
      <c r="C162" s="28">
        <v>40</v>
      </c>
      <c r="D162" s="26">
        <v>8.3000000000000007</v>
      </c>
      <c r="E162" s="27" t="s">
        <v>250</v>
      </c>
      <c r="F162" s="26" t="s">
        <v>251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 t="shared" si="4"/>
        <v>1</v>
      </c>
    </row>
    <row r="163" spans="1:8" ht="12.5" x14ac:dyDescent="0.25">
      <c r="A163" s="26">
        <v>45</v>
      </c>
      <c r="B163" s="27" t="s">
        <v>294</v>
      </c>
      <c r="C163" s="28">
        <v>45</v>
      </c>
      <c r="D163" s="26">
        <v>10.199999999999999</v>
      </c>
      <c r="E163" s="27" t="s">
        <v>295</v>
      </c>
      <c r="F163" s="26" t="s">
        <v>296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 t="shared" si="4"/>
        <v>1</v>
      </c>
    </row>
    <row r="164" spans="1:8" ht="12.5" x14ac:dyDescent="0.25">
      <c r="A164" s="26">
        <v>20</v>
      </c>
      <c r="B164" s="27" t="s">
        <v>371</v>
      </c>
      <c r="C164" s="28">
        <v>20</v>
      </c>
      <c r="D164" s="26">
        <v>1.5</v>
      </c>
      <c r="E164" s="31" t="s">
        <v>299</v>
      </c>
      <c r="F164" s="26" t="s">
        <v>372</v>
      </c>
      <c r="G164" s="29" t="str">
        <f>IF(Consulta!$B$1="", "", IF(OR(IFERROR(SEARCH(Consulta!$B$1,B164),0)&gt;0,IFERROR(SEARCH(Consulta!$B$1,E164),0)&gt;0,IFERROR(SEARCH(Consulta!$B$1,F164),0)&gt;0), MAX($G$1:G163)+1, ""))</f>
        <v/>
      </c>
      <c r="H164" s="21" t="b">
        <f t="shared" ref="H164" si="5">A164=C164</f>
        <v>1</v>
      </c>
    </row>
    <row r="165" spans="1:8" ht="12.5" x14ac:dyDescent="0.25">
      <c r="A165" s="1"/>
      <c r="C165" s="1"/>
      <c r="D165" s="1"/>
      <c r="F165" s="1"/>
    </row>
    <row r="166" spans="1:8" ht="12.5" x14ac:dyDescent="0.25">
      <c r="A166" s="1"/>
      <c r="C166" s="1"/>
      <c r="D166" s="1"/>
      <c r="F166" s="1"/>
    </row>
    <row r="167" spans="1:8" ht="12.5" x14ac:dyDescent="0.25">
      <c r="A167" s="1"/>
      <c r="C167" s="1"/>
      <c r="D167" s="1"/>
      <c r="F167" s="1"/>
    </row>
    <row r="168" spans="1:8" ht="12.5" x14ac:dyDescent="0.25">
      <c r="A168" s="1"/>
      <c r="C168" s="1"/>
      <c r="D168" s="1"/>
      <c r="F168" s="1"/>
    </row>
    <row r="169" spans="1:8" ht="12.5" x14ac:dyDescent="0.25">
      <c r="A169" s="1"/>
      <c r="C169" s="1"/>
      <c r="D169" s="1"/>
      <c r="F169" s="1"/>
    </row>
    <row r="170" spans="1:8" ht="12.5" x14ac:dyDescent="0.25">
      <c r="A170" s="1"/>
      <c r="C170" s="1"/>
      <c r="D170" s="1"/>
      <c r="F170" s="1"/>
    </row>
    <row r="171" spans="1:8" ht="12.5" x14ac:dyDescent="0.25">
      <c r="A171" s="1"/>
      <c r="C171" s="1"/>
      <c r="D171" s="1"/>
      <c r="F171" s="1"/>
    </row>
    <row r="172" spans="1:8" ht="12.5" x14ac:dyDescent="0.25">
      <c r="A172" s="1"/>
      <c r="C172" s="1"/>
      <c r="D172" s="1"/>
      <c r="F172" s="1"/>
    </row>
    <row r="173" spans="1:8" ht="12.5" x14ac:dyDescent="0.25">
      <c r="A173" s="1"/>
      <c r="C173" s="1"/>
      <c r="D173" s="1"/>
      <c r="F173" s="1"/>
    </row>
    <row r="174" spans="1:8" ht="12.5" x14ac:dyDescent="0.25">
      <c r="A174" s="1"/>
      <c r="C174" s="1"/>
      <c r="D174" s="1"/>
      <c r="F174" s="1"/>
    </row>
    <row r="175" spans="1:8" ht="12.5" x14ac:dyDescent="0.25">
      <c r="A175" s="1"/>
      <c r="C175" s="1"/>
      <c r="D175" s="1"/>
      <c r="F175" s="1"/>
    </row>
    <row r="176" spans="1:8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</sheetData>
  <autoFilter ref="A1:H163">
    <sortState ref="A2:H147">
      <sortCondition ref="A2:A147"/>
      <sortCondition ref="B2:B147"/>
      <sortCondition ref="D2:D147"/>
    </sortState>
  </autoFilter>
  <sortState ref="A2:H163">
    <sortCondition ref="A2:A163"/>
    <sortCondition ref="B2:B163"/>
    <sortCondition ref="D2:D163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2026-10-01T14:15:21Z</dcterms:modified>
</cp:coreProperties>
</file>