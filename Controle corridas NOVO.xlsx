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Base!$A$1:$H$184</definedName>
    <definedName name="_xlnm.Print_Area" localSheetId="0">Base!$A$1:$F$147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49" i="1" l="1"/>
  <c r="G49" i="1"/>
  <c r="H172" i="1"/>
  <c r="G172" i="1"/>
  <c r="H177" i="1"/>
  <c r="G177" i="1"/>
  <c r="H65" i="1"/>
  <c r="G65" i="1"/>
  <c r="H35" i="1"/>
  <c r="G35" i="1"/>
  <c r="H78" i="1"/>
  <c r="G78" i="1"/>
  <c r="H47" i="1"/>
  <c r="G47" i="1"/>
  <c r="H66" i="1"/>
  <c r="H173" i="1"/>
  <c r="G173" i="1"/>
  <c r="H21" i="1" l="1"/>
  <c r="G21" i="1"/>
  <c r="H72" i="1" l="1"/>
  <c r="G72" i="1"/>
  <c r="H102" i="1" l="1"/>
  <c r="G102" i="1"/>
  <c r="H89" i="1"/>
  <c r="G89" i="1"/>
  <c r="H53" i="1" l="1"/>
  <c r="G53" i="1"/>
  <c r="H43" i="1"/>
  <c r="G43" i="1"/>
  <c r="H16" i="1"/>
  <c r="G16" i="1"/>
  <c r="H73" i="1" l="1"/>
  <c r="G73" i="1"/>
  <c r="H176" i="1"/>
  <c r="G176" i="1"/>
  <c r="H40" i="1" l="1"/>
  <c r="G40" i="1"/>
  <c r="H23" i="1"/>
  <c r="G23" i="1"/>
  <c r="H109" i="1"/>
  <c r="G109" i="1"/>
  <c r="H120" i="1" l="1"/>
  <c r="G120" i="1"/>
  <c r="H15" i="1"/>
  <c r="G15" i="1"/>
  <c r="H3" i="1"/>
  <c r="G3" i="1"/>
  <c r="H143" i="1"/>
  <c r="G143" i="1"/>
  <c r="H149" i="1"/>
  <c r="G149" i="1"/>
  <c r="H130" i="1"/>
  <c r="G130" i="1"/>
  <c r="H71" i="1" l="1"/>
  <c r="G71" i="1"/>
  <c r="H41" i="1"/>
  <c r="G41" i="1"/>
  <c r="H31" i="1"/>
  <c r="G31" i="1"/>
  <c r="H62" i="1"/>
  <c r="G62" i="1"/>
  <c r="H105" i="1"/>
  <c r="G105" i="1"/>
  <c r="H51" i="1"/>
  <c r="G51" i="1"/>
  <c r="H29" i="1"/>
  <c r="G29" i="1"/>
  <c r="H122" i="1"/>
  <c r="G122" i="1"/>
  <c r="H156" i="1"/>
  <c r="G156" i="1"/>
  <c r="H179" i="1" l="1"/>
  <c r="G179" i="1"/>
  <c r="H123" i="1"/>
  <c r="H92" i="1"/>
  <c r="H93" i="1"/>
  <c r="H118" i="1"/>
  <c r="H67" i="1" l="1"/>
  <c r="H63" i="1"/>
  <c r="H61" i="1"/>
  <c r="H58" i="1"/>
  <c r="H57" i="1"/>
  <c r="H101" i="1"/>
  <c r="G101" i="1"/>
  <c r="H167" i="1"/>
  <c r="G167" i="1"/>
  <c r="H48" i="1"/>
  <c r="G48" i="1"/>
  <c r="G184" i="1"/>
  <c r="H184" i="1"/>
  <c r="G34" i="1"/>
  <c r="H34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2" i="1"/>
  <c r="H22" i="1"/>
  <c r="G24" i="1"/>
  <c r="H24" i="1"/>
  <c r="G25" i="1"/>
  <c r="H25" i="1"/>
  <c r="G26" i="1"/>
  <c r="H26" i="1"/>
  <c r="G27" i="1"/>
  <c r="H27" i="1"/>
  <c r="G28" i="1"/>
  <c r="H28" i="1"/>
  <c r="G30" i="1"/>
  <c r="H30" i="1"/>
  <c r="G32" i="1"/>
  <c r="H32" i="1"/>
  <c r="G33" i="1"/>
  <c r="H33" i="1"/>
  <c r="G36" i="1"/>
  <c r="H36" i="1"/>
  <c r="G37" i="1"/>
  <c r="H37" i="1"/>
  <c r="G38" i="1"/>
  <c r="H38" i="1"/>
  <c r="G39" i="1"/>
  <c r="H39" i="1"/>
  <c r="G42" i="1"/>
  <c r="H42" i="1"/>
  <c r="G44" i="1"/>
  <c r="H44" i="1"/>
  <c r="G45" i="1"/>
  <c r="H45" i="1"/>
  <c r="G76" i="1"/>
  <c r="H76" i="1"/>
  <c r="G46" i="1"/>
  <c r="H46" i="1"/>
  <c r="G79" i="1"/>
  <c r="H79" i="1"/>
  <c r="G50" i="1"/>
  <c r="H50" i="1"/>
  <c r="G52" i="1"/>
  <c r="H52" i="1"/>
  <c r="G54" i="1"/>
  <c r="H54" i="1"/>
  <c r="G55" i="1"/>
  <c r="H55" i="1"/>
  <c r="G56" i="1"/>
  <c r="H56" i="1"/>
  <c r="G59" i="1"/>
  <c r="H59" i="1"/>
  <c r="G60" i="1"/>
  <c r="H60" i="1"/>
  <c r="G64" i="1"/>
  <c r="H64" i="1"/>
  <c r="G68" i="1"/>
  <c r="H68" i="1"/>
  <c r="G69" i="1"/>
  <c r="H69" i="1"/>
  <c r="G70" i="1"/>
  <c r="H70" i="1"/>
  <c r="G74" i="1"/>
  <c r="H74" i="1"/>
  <c r="G75" i="1"/>
  <c r="H75" i="1"/>
  <c r="G77" i="1"/>
  <c r="H77" i="1"/>
  <c r="G83" i="1"/>
  <c r="H83" i="1"/>
  <c r="G84" i="1"/>
  <c r="H84" i="1"/>
  <c r="G85" i="1"/>
  <c r="H85" i="1"/>
  <c r="G87" i="1"/>
  <c r="H87" i="1"/>
  <c r="G88" i="1"/>
  <c r="H88" i="1"/>
  <c r="G90" i="1"/>
  <c r="H90" i="1"/>
  <c r="G91" i="1"/>
  <c r="H91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3" i="1"/>
  <c r="H103" i="1"/>
  <c r="G104" i="1"/>
  <c r="H104" i="1"/>
  <c r="G106" i="1"/>
  <c r="H106" i="1"/>
  <c r="G107" i="1"/>
  <c r="H107" i="1"/>
  <c r="G108" i="1"/>
  <c r="H108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9" i="1"/>
  <c r="H119" i="1"/>
  <c r="G121" i="1"/>
  <c r="H121" i="1"/>
  <c r="G124" i="1"/>
  <c r="H124" i="1"/>
  <c r="G125" i="1"/>
  <c r="H125" i="1"/>
  <c r="G126" i="1"/>
  <c r="H126" i="1"/>
  <c r="G127" i="1"/>
  <c r="H127" i="1"/>
  <c r="G128" i="1"/>
  <c r="H128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4" i="1"/>
  <c r="H144" i="1"/>
  <c r="G145" i="1"/>
  <c r="H145" i="1"/>
  <c r="G146" i="1"/>
  <c r="H146" i="1"/>
  <c r="G147" i="1"/>
  <c r="H147" i="1"/>
  <c r="G148" i="1"/>
  <c r="H148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29" i="1"/>
  <c r="H129" i="1"/>
  <c r="G168" i="1"/>
  <c r="H168" i="1"/>
  <c r="G169" i="1"/>
  <c r="H169" i="1"/>
  <c r="G170" i="1"/>
  <c r="H170" i="1"/>
  <c r="G171" i="1"/>
  <c r="H171" i="1"/>
  <c r="G174" i="1"/>
  <c r="H174" i="1"/>
  <c r="G175" i="1"/>
  <c r="H175" i="1"/>
  <c r="G178" i="1"/>
  <c r="H178" i="1"/>
  <c r="G180" i="1"/>
  <c r="H180" i="1"/>
  <c r="G181" i="1"/>
  <c r="H181" i="1"/>
  <c r="G182" i="1"/>
  <c r="H182" i="1"/>
  <c r="G183" i="1"/>
  <c r="H183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<sst xmlns="http://schemas.openxmlformats.org/spreadsheetml/2006/main" count="686" uniqueCount="408">
  <si>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</si>
  <si>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</si>
  <si>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</si>
  <si>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</si>
  <si>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</si>
  <si>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</si>
  <si>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</si>
  <si>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</si>
  <si>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</si>
  <si>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</si>
  <si>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</si>
  <si>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</si>
  <si>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</si>
  <si>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</si>
  <si>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</si>
  <si>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</si>
  <si>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</si>
  <si>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</si>
  <si>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</si>
  <si>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</si>
  <si>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</si>
  <si>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</si>
  <si>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</si>
  <si>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</si>
  <si>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</si>
  <si>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</si>
  <si>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</si>
  <si>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</si>
  <si>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</si>
  <si>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</si>
  <si>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</si>
  <si>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</si>
  <si>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</si>
  <si>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</si>
  <si>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</si>
  <si>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</si>
  <si>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</si>
  <si>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</si>
  <si>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</si>
  <si>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</si>
  <si>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</si>
  <si>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</si>
  <si>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</si>
  <si>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</si>
  <si>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</si>
  <si>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</si>
  <si>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</si>
  <si>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</si>
  <si>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</si>
  <si>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</si>
  <si>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</si>
  <si>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</si>
  <si>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</si>
  <si>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</si>
  <si>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</si>
  <si>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</si>
  <si>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</si>
  <si>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</si>
  <si>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</si>
  <si>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</si>
  <si>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</si>
  <si>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</si>
  <si>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</si>
  <si>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</si>
  <si>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</si>
  <si>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</si>
  <si>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</si>
  <si>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</si>
  <si>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</si>
  <si>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</si>
  <si>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</si>
  <si>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</si>
  <si>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</si>
  <si>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</si>
  <si>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</si>
  <si>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</si>
  <si>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</si>
  <si>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</si>
  <si>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</si>
  <si>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</si>
  <si>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</si>
  <si>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</si>
  <si>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</si>
  <si>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</si>
  <si>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</si>
  <si>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</si>
  <si>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</si>
  <si>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</si>
  <si>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</si>
  <si>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</si>
  <si>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</si>
  <si>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</si>
  <si>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</si>
  <si>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</si>
  <si>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</si>
  <si>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</si>
  <si>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</si>
  <si>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</si>
  <si>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</si>
  <si>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</si>
  <si>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</si>
  <si>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</si>
  <si>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</si>
  <si>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</si>
  <si>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</si>
  <si>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</si>
  <si>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</si>
  <si>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</si>
  <si>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</si>
  <si>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</si>
  <si>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</si>
  <si>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</si>
  <si>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</si>
  <si>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</si>
  <si>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</si>
  <si>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</si>
  <si>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</si>
  <si>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</si>
  <si>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</si>
  <si>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</si>
  <si>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</si>
  <si>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</si>
  <si>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</si>
  <si>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</si>
  <si>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</si>
  <si>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</si>
  <si>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</si>
  <si>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</si>
  <si>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</si>
  <si>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</si>
  <si>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</si>
  <si>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</si>
  <si>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</si>
  <si>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</si>
  <si>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</si>
  <si>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</si>
  <si>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</si>
  <si>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</si>
  <si>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</si>
  <si>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</si>
  <si>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</si>
  <si>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</si>
  <si>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</si>
  <si>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</si>
  <si>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</si>
  <si>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</si>
  <si>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</si>
  <si>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</si>
  <si>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</si>
  <si>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</si>
  <si>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</si>
  <si>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</si>
  <si>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</si>
  <si>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</si>
  <si>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</si>
  <si>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</si>
  <si>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</si>
  <si>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</si>
  <si>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</si>
  <si>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</si>
  <si>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</si>
  <si>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</si>
  <si>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</si>
  <si>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</si>
  <si>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</si>
  <si>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</si>
  <si>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</si>
  <si>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</si>
  <si>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</si>
  <si>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</si>
  <si>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</si>
  <si>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</si>
  <si>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</si>
  <si>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</si>
  <si>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</si>
  <si>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</si>
  <si>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</si>
  <si>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</si>
  <si>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</si>
  <si>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</si>
  <si>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</si>
  <si>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</si>
  <si>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</si>
  <si>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</si>
  <si>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</si>
  <si>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</si>
  <si>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</si>
  <si>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</si>
  <si>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</si>
  <si>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</si>
  <si>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</si>
  <si>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</si>
  <si>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</si>
  <si>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</si>
  <si>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</si>
  <si>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</si>
  <si>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</si>
  <si>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</si>
  <si>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</si>
  <si>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</si>
  <si>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</si>
  <si>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</si>
  <si>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</si>
  <si>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</si>
  <si>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</si>
  <si>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</si>
  <si>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</si>
  <si>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</si>
  <si>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</si>
  <si>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</si>
  <si>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</si>
  <si>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</si>
  <si>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</si>
  <si>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</si>
  <si>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</si>
  <si>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</si>
  <si>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</si>
  <si>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</si>
  <si>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</si>
  <si>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</si>
  <si>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</si>
  <si>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</si>
  <si>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</si>
  <si>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</si>
  <si>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</si>
  <si>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</si>
  <si>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</si>
  <si>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</si>
  <si>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</si>
  <si>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</si>
  <si>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</si>
  <si>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</si>
  <si>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</si>
  <si>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</si>
  <si>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</si>
  <si>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</si>
  <si>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</si>
  <si>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</si>
  <si>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</si>
  <si>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</si>
  <si>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</si>
  <si>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</si>
  <si>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</si>
  <si>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</si>
  <si>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</si>
  <si>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</si>
  <si>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</si>
  <si>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</si>
  <si>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</si>
  <si>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</si>
  <si>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</si>
  <si>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</si>
  <si>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</si>
  <si>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</si>
  <si>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</si>
  <si>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</si>
  <si>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</si>
  <si>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</si>
  <si>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</si>
  <si>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</si>
  <si>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</si>
  <si>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</si>
  <si>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</si>
  <si>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</si>
  <si>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</si>
  <si>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</si>
  <si>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</si>
  <si>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</si>
  <si>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</si>
  <si>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</si>
  <si>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</si>
  <si>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</si>
  <si>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</si>
  <si>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</si>
  <si>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</si>
  <si>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</si>
  <si>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</si>
  <si>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</si>
  <si>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</si>
  <si>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</si>
  <si>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</si>
  <si>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</si>
  <si>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</si>
  <si>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</si>
  <si>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</si>
  <si>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</si>
  <si>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</si>
  <si>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</si>
  <si>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</si>
  <si>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</si>
  <si>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</si>
  <si>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</si>
  <si>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</si>
  <si>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</si>
  <si>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</si>
  <si>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</si>
  <si>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</si>
  <si>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</si>
  <si>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</si>
  <si>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</si>
  <si>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</si>
  <si>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</si>
  <si>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</si>
  <si>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</si>
  <si>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</si>
  <si>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</si>
  <si>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</si>
  <si>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</si>
  <si>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</si>
  <si>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</si>
  <si>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</si>
  <si>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</si>
  <si>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</si>
  <si>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</si>
  <si>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</si>
  <si>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</si>
  <si>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</si>
  <si>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</si>
  <si>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</si>
  <si>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</si>
  <si>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</si>
  <si>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</si>
  <si>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</si>
  <si>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</si>
  <si>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</si>
  <si>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</si>
  <si>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</si>
  <si>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</si>
  <si>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</si>
  <si>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</si>
  <si>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</si>
  <si>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</si>
  <si>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</si>
  <si>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</si>
  <si>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</si>
  <si>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</si>
  <si>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</si>
  <si>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</si>
  <si>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</si>
  <si>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</si>
  <si>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</si>
  <si>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</si>
  <si>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</si>
  <si>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</si>
  <si>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</si>
  <si>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</si>
  <si>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</si>
  <si>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</si>
  <si>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</si>
  <si>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</si>
  <si>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</si>
  <si>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</si>
  <si>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</si>
  <si>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</si>
  <si>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</si>
  <si>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</si>
  <si>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</si>
  <si>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</si>
  <si>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</si>
  <si>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</si>
  <si>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</si>
  <si>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</si>
  <si>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</si>
  <si>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</si>
  <si>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</si>
  <si>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</si>
  <si>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</si>
  <si>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</si>
  <si>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</si>
  <si>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</si>
  <si>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</si>
  <si>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</si>
  <si>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</si>
  <si>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FREDERICO FAULHABER APÓS CAMPO SÃO LUIS</t>
  </si>
  <si>
    <t>FREDERICO FAULHABER ANTES CAMPO SÃO LUIS</t>
  </si>
  <si>
    <t>POSTO VAGÃO</t>
  </si>
  <si>
    <t>Realengo - Av. Brasil</t>
  </si>
  <si>
    <t>MORAIS JUNIOR</t>
  </si>
  <si>
    <t>21710-100</t>
  </si>
  <si>
    <t>Realengo - Cohab</t>
  </si>
  <si>
    <t>21765-050</t>
  </si>
  <si>
    <t>TRAVESSA TUPY - UNIVERSAL</t>
  </si>
  <si>
    <t>APUCARANA</t>
  </si>
  <si>
    <t>21735-040</t>
  </si>
  <si>
    <t>21710-530</t>
  </si>
  <si>
    <t>CORONEL VALENCIA</t>
  </si>
  <si>
    <t>MOEMA</t>
  </si>
  <si>
    <t>PARAPUÃ ATÉ PREDIOS (383)</t>
  </si>
  <si>
    <t>PARAPUÃ APÓS PREDIOS (383)</t>
  </si>
  <si>
    <t>ANIBAL ESTEVES</t>
  </si>
  <si>
    <t>21710-040</t>
  </si>
  <si>
    <t>PROFESSOR HELIO VIANA (RUA F)</t>
  </si>
  <si>
    <t>FRECHEIRINHA</t>
  </si>
  <si>
    <t>21775-150</t>
  </si>
  <si>
    <t>CASTANHEIRO</t>
  </si>
  <si>
    <t>21710-430</t>
  </si>
  <si>
    <t>REGENCIA ANTES DO CAMPO SÃO LUIZ</t>
  </si>
  <si>
    <t>21760-150</t>
  </si>
  <si>
    <t>REGENCIA DEPOIS DO CAMPO SÃO LUIZ</t>
  </si>
  <si>
    <t>21760-210</t>
  </si>
  <si>
    <t>GRÃO MOGOL ANTES DO CAMPO SÃO LUIZ</t>
  </si>
  <si>
    <t>GRÃO MOGOL DEPOIS DO CAMPO SÃO LUIZ</t>
  </si>
  <si>
    <t>RANGEL PESTANA</t>
  </si>
  <si>
    <t>21820-040</t>
  </si>
  <si>
    <t>BURACO DO FAIM</t>
  </si>
  <si>
    <t>21810-007</t>
  </si>
  <si>
    <t>SALVADOR SABATE ATÉ BANDEIRA DE MELO</t>
  </si>
  <si>
    <t>SALVADOR SABATE APÓS BANDEIRA DE MELO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</si>
</sst>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51"/>
  <sheetViews>
    <sheetView tabSelected="1" workbookViewId="0">
      <selection sqref="A1:H184"/>
    </sheetView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272</v>
      </c>
      <c r="C2" s="32">
        <v>13</v>
      </c>
      <c r="D2" s="30" t="s">
        <v>21</v>
      </c>
      <c r="E2" s="31" t="s">
        <v>269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361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274</v>
      </c>
      <c r="C5" s="32">
        <v>13</v>
      </c>
      <c r="D5" s="30" t="s">
        <v>21</v>
      </c>
      <c r="E5" s="31" t="s">
        <v>269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275</v>
      </c>
      <c r="C6" s="32">
        <v>13</v>
      </c>
      <c r="D6" s="30" t="s">
        <v>21</v>
      </c>
      <c r="E6" s="31" t="s">
        <v>269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273</v>
      </c>
      <c r="C8" s="32">
        <v>13</v>
      </c>
      <c r="D8" s="30" t="s">
        <v>21</v>
      </c>
      <c r="E8" s="31" t="s">
        <v>269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278</v>
      </c>
      <c r="C9" s="32">
        <v>13</v>
      </c>
      <c r="D9" s="30" t="s">
        <v>21</v>
      </c>
      <c r="E9" s="31" t="s">
        <v>269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268</v>
      </c>
      <c r="C11" s="32">
        <v>13</v>
      </c>
      <c r="D11" s="30" t="s">
        <v>21</v>
      </c>
      <c r="E11" s="31" t="s">
        <v>269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271</v>
      </c>
      <c r="C12" s="32">
        <v>13</v>
      </c>
      <c r="D12" s="30" t="s">
        <v>21</v>
      </c>
      <c r="E12" s="31" t="s">
        <v>269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359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362</v>
      </c>
      <c r="C15" s="32">
        <v>13</v>
      </c>
      <c r="D15" s="30" t="s">
        <v>14</v>
      </c>
      <c r="E15" s="31" t="s">
        <v>8</v>
      </c>
      <c r="F15" s="30" t="s">
        <v>363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387</v>
      </c>
      <c r="C16" s="28">
        <v>13</v>
      </c>
      <c r="D16" s="26">
        <v>1</v>
      </c>
      <c r="E16" s="27" t="s">
        <v>379</v>
      </c>
      <c r="F16" s="26" t="s">
        <v>380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270</v>
      </c>
      <c r="C17" s="32">
        <v>13</v>
      </c>
      <c r="D17" s="30" t="s">
        <v>21</v>
      </c>
      <c r="E17" s="31" t="s">
        <v>269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389</v>
      </c>
      <c r="C21" s="28">
        <v>15</v>
      </c>
      <c r="D21" s="26">
        <v>1</v>
      </c>
      <c r="E21" s="27" t="s">
        <v>8</v>
      </c>
      <c r="F21" s="26" t="s">
        <v>390</v>
      </c>
      <c r="G21" s="29" t="str">
        <f>IF(Consulta!$B$1="", "", IF(OR(IFERROR(SEARCH(Consulta!$B$1,B21),0)&gt;0,IFERROR(SEARCH(Consulta!$B$1,E21),0)&gt;0,IFERROR(SEARCH(Consulta!$B$1,F21),0)&gt;0), MAX($G$1:G19)+1,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74</v>
      </c>
      <c r="C22" s="28">
        <v>15</v>
      </c>
      <c r="D22" s="26" t="s">
        <v>210</v>
      </c>
      <c r="E22" s="27" t="s">
        <v>304</v>
      </c>
      <c r="F22" s="26" t="s">
        <v>75</v>
      </c>
      <c r="G22" s="29" t="str">
        <f>IF(Consulta!$B$1="", "", IF(OR(IFERROR(SEARCH(Consulta!$B$1,B22),0)&gt;0,IFERROR(SEARCH(Consulta!$B$1,E22),0)&gt;0,IFERROR(SEARCH(Consulta!$B$1,F22),0)&gt;0), MAX($G$1:G20)+1,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369</v>
      </c>
      <c r="C23" s="28">
        <v>15</v>
      </c>
      <c r="D23" s="26">
        <v>2.1</v>
      </c>
      <c r="E23" s="27" t="s">
        <v>244</v>
      </c>
      <c r="F23" s="26" t="s">
        <v>370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72</v>
      </c>
      <c r="C24" s="28">
        <v>15</v>
      </c>
      <c r="D24" s="26" t="s">
        <v>209</v>
      </c>
      <c r="E24" s="27" t="s">
        <v>8</v>
      </c>
      <c r="F24" s="26" t="s">
        <v>73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360</v>
      </c>
      <c r="C25" s="28">
        <v>15</v>
      </c>
      <c r="D25" s="26">
        <v>1</v>
      </c>
      <c r="E25" s="27" t="s">
        <v>8</v>
      </c>
      <c r="F25" s="26" t="s">
        <v>69</v>
      </c>
      <c r="G25" s="29" t="str">
        <f>IF(Consulta!$B$1="", "", IF(OR(IFERROR(SEARCH(Consulta!$B$1,B25),0)&gt;0,IFERROR(SEARCH(Consulta!$B$1,E25),0)&gt;0,IFERROR(SEARCH(Consulta!$B$1,F25),0)&gt;0), MAX($G$1:G22)+1,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66</v>
      </c>
      <c r="C26" s="28">
        <v>15</v>
      </c>
      <c r="D26" s="26" t="s">
        <v>219</v>
      </c>
      <c r="E26" s="27" t="s">
        <v>8</v>
      </c>
      <c r="F26" s="26" t="s">
        <v>67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64</v>
      </c>
      <c r="C27" s="28">
        <v>15</v>
      </c>
      <c r="D27" s="26" t="s">
        <v>206</v>
      </c>
      <c r="E27" s="27" t="s">
        <v>8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265</v>
      </c>
      <c r="C28" s="28">
        <v>15</v>
      </c>
      <c r="D28" s="26" t="s">
        <v>206</v>
      </c>
      <c r="E28" s="27" t="s">
        <v>266</v>
      </c>
      <c r="F28" s="26" t="s">
        <v>65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343</v>
      </c>
      <c r="C29" s="28">
        <v>15</v>
      </c>
      <c r="D29" s="26">
        <v>2.5</v>
      </c>
      <c r="E29" s="27" t="s">
        <v>8</v>
      </c>
      <c r="F29" s="26" t="s">
        <v>344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258</v>
      </c>
      <c r="C30" s="28">
        <v>15</v>
      </c>
      <c r="D30" s="26" t="s">
        <v>7</v>
      </c>
      <c r="E30" s="27" t="s">
        <v>8</v>
      </c>
      <c r="F30" s="26" t="s">
        <v>260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374</v>
      </c>
      <c r="C31" s="28">
        <v>15</v>
      </c>
      <c r="D31" s="26">
        <v>2</v>
      </c>
      <c r="E31" s="27" t="s">
        <v>348</v>
      </c>
      <c r="F31" s="26" t="s">
        <v>346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57</v>
      </c>
      <c r="C32" s="28">
        <v>15</v>
      </c>
      <c r="D32" s="26" t="s">
        <v>223</v>
      </c>
      <c r="E32" s="27" t="s">
        <v>8</v>
      </c>
      <c r="F32" s="26" t="s">
        <v>58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267</v>
      </c>
      <c r="C33" s="28">
        <v>15</v>
      </c>
      <c r="D33" s="26" t="s">
        <v>205</v>
      </c>
      <c r="E33" s="27" t="s">
        <v>8</v>
      </c>
      <c r="F33" s="26" t="s">
        <v>56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305</v>
      </c>
      <c r="C34" s="28">
        <v>15</v>
      </c>
      <c r="D34" s="26">
        <v>2.1</v>
      </c>
      <c r="E34" s="27" t="s">
        <v>8</v>
      </c>
      <c r="F34" s="26" t="s">
        <v>306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400</v>
      </c>
      <c r="C35" s="28">
        <v>15</v>
      </c>
      <c r="D35" s="26">
        <v>2.2000000000000002</v>
      </c>
      <c r="E35" s="27" t="s">
        <v>8</v>
      </c>
      <c r="F35" s="26" t="s">
        <v>399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54</v>
      </c>
      <c r="C36" s="28">
        <v>15</v>
      </c>
      <c r="D36" s="26" t="s">
        <v>204</v>
      </c>
      <c r="E36" s="27" t="s">
        <v>8</v>
      </c>
      <c r="F36" s="26" t="s">
        <v>55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276</v>
      </c>
      <c r="C37" s="28">
        <v>15</v>
      </c>
      <c r="D37" s="26" t="s">
        <v>210</v>
      </c>
      <c r="E37" s="27" t="s">
        <v>8</v>
      </c>
      <c r="F37" s="26" t="s">
        <v>75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259</v>
      </c>
      <c r="C38" s="28">
        <v>15</v>
      </c>
      <c r="D38" s="26" t="s">
        <v>21</v>
      </c>
      <c r="E38" s="27" t="s">
        <v>8</v>
      </c>
      <c r="F38" s="26" t="s">
        <v>261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291</v>
      </c>
      <c r="C39" s="28">
        <v>15</v>
      </c>
      <c r="D39" s="26">
        <v>2.2000000000000002</v>
      </c>
      <c r="E39" s="27" t="s">
        <v>8</v>
      </c>
      <c r="F39" s="26" t="s">
        <v>292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372</v>
      </c>
      <c r="C40" s="28">
        <v>15</v>
      </c>
      <c r="D40" s="26">
        <v>2.1</v>
      </c>
      <c r="E40" s="27" t="s">
        <v>8</v>
      </c>
      <c r="F40" s="26" t="s">
        <v>371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350</v>
      </c>
      <c r="C41" s="28">
        <v>15</v>
      </c>
      <c r="D41" s="26">
        <v>1.5</v>
      </c>
      <c r="E41" s="27" t="s">
        <v>8</v>
      </c>
      <c r="F41" s="26" t="s">
        <v>351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50</v>
      </c>
      <c r="C42" s="28">
        <v>15</v>
      </c>
      <c r="D42" s="26" t="s">
        <v>213</v>
      </c>
      <c r="E42" s="27" t="s">
        <v>8</v>
      </c>
      <c r="F42" s="26" t="s">
        <v>51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388</v>
      </c>
      <c r="C43" s="28">
        <v>15</v>
      </c>
      <c r="D43" s="26">
        <v>1.3</v>
      </c>
      <c r="E43" s="27" t="s">
        <v>379</v>
      </c>
      <c r="F43" s="26" t="s">
        <v>380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46</v>
      </c>
      <c r="C44" s="28">
        <v>15</v>
      </c>
      <c r="D44" s="26" t="s">
        <v>233</v>
      </c>
      <c r="E44" s="27" t="s">
        <v>8</v>
      </c>
      <c r="F44" s="26" t="s">
        <v>47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44</v>
      </c>
      <c r="C45" s="28">
        <v>15</v>
      </c>
      <c r="D45" s="26" t="s">
        <v>225</v>
      </c>
      <c r="E45" s="27" t="s">
        <v>8</v>
      </c>
      <c r="F45" s="26" t="s">
        <v>45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40</v>
      </c>
      <c r="C46" s="28">
        <v>15</v>
      </c>
      <c r="D46" s="26" t="s">
        <v>212</v>
      </c>
      <c r="E46" s="27" t="s">
        <v>8</v>
      </c>
      <c r="F46" s="26" t="s">
        <v>41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396</v>
      </c>
      <c r="C47" s="28">
        <v>15</v>
      </c>
      <c r="D47" s="26">
        <v>1.8</v>
      </c>
      <c r="E47" s="27" t="s">
        <v>8</v>
      </c>
      <c r="F47" s="26" t="s">
        <v>397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307</v>
      </c>
      <c r="C48" s="28">
        <v>15</v>
      </c>
      <c r="D48" s="26">
        <v>2.2000000000000002</v>
      </c>
      <c r="E48" s="27" t="s">
        <v>8</v>
      </c>
      <c r="F48" s="26" t="s">
        <v>292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406</v>
      </c>
      <c r="C49" s="28">
        <v>15</v>
      </c>
      <c r="D49" s="26">
        <v>2.1</v>
      </c>
      <c r="E49" s="27" t="s">
        <v>244</v>
      </c>
      <c r="F49" s="26" t="s">
        <v>202</v>
      </c>
      <c r="G49" s="29" t="str">
        <f>IF(Consulta!$B$1="", "", IF(OR(IFERROR(SEARCH(Consulta!$B$1,B49),0)&gt;0,IFERROR(SEARCH(Consulta!$B$1,E49),0)&gt;0,IFERROR(SEARCH(Consulta!$B$1,F49),0)&gt;0), MAX($G$1:G47)+1,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38</v>
      </c>
      <c r="C50" s="28">
        <v>15</v>
      </c>
      <c r="D50" s="26" t="s">
        <v>211</v>
      </c>
      <c r="E50" s="27" t="s">
        <v>8</v>
      </c>
      <c r="F50" s="26" t="s">
        <v>39</v>
      </c>
      <c r="G50" s="29" t="str">
        <f>IF(Consulta!$B$1="", "", IF(OR(IFERROR(SEARCH(Consulta!$B$1,B50),0)&gt;0,IFERROR(SEARCH(Consulta!$B$1,E50),0)&gt;0,IFERROR(SEARCH(Consulta!$B$1,F50),0)&gt;0), MAX($G$1:G44)+1,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340</v>
      </c>
      <c r="C51" s="28">
        <v>15</v>
      </c>
      <c r="D51" s="26">
        <v>1.4</v>
      </c>
      <c r="E51" s="27" t="s">
        <v>8</v>
      </c>
      <c r="F51" s="26" t="s">
        <v>345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15</v>
      </c>
      <c r="B52" s="27" t="s">
        <v>34</v>
      </c>
      <c r="C52" s="28">
        <v>15</v>
      </c>
      <c r="D52" s="26" t="s">
        <v>210</v>
      </c>
      <c r="E52" s="27" t="s">
        <v>8</v>
      </c>
      <c r="F52" s="26" t="s">
        <v>35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26">
        <v>15</v>
      </c>
      <c r="B53" s="27" t="s">
        <v>381</v>
      </c>
      <c r="C53" s="28">
        <v>15</v>
      </c>
      <c r="D53" s="26">
        <v>1.2</v>
      </c>
      <c r="E53" s="27" t="s">
        <v>379</v>
      </c>
      <c r="F53" s="26" t="s">
        <v>380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26">
        <v>15</v>
      </c>
      <c r="B54" s="27" t="s">
        <v>279</v>
      </c>
      <c r="C54" s="28">
        <v>15</v>
      </c>
      <c r="D54" s="26" t="s">
        <v>209</v>
      </c>
      <c r="E54" s="27" t="s">
        <v>266</v>
      </c>
      <c r="F54" s="26" t="s">
        <v>33</v>
      </c>
      <c r="G54" s="29" t="str">
        <f>IF(Consulta!$B$1="", "", IF(OR(IFERROR(SEARCH(Consulta!$B$1,B54),0)&gt;0,IFERROR(SEARCH(Consulta!$B$1,E54),0)&gt;0,IFERROR(SEARCH(Consulta!$B$1,F54),0)&gt;0), MAX($G$1:G49)+1, ""))</f>
        <v/>
      </c>
      <c r="H54" s="21" t="b">
        <f>A54=C54</f>
        <v>1</v>
      </c>
    </row>
    <row r="55" spans="1:8" ht="12.5" x14ac:dyDescent="0.25">
      <c r="A55" s="33">
        <v>17</v>
      </c>
      <c r="B55" s="34" t="s">
        <v>70</v>
      </c>
      <c r="C55" s="35">
        <v>17</v>
      </c>
      <c r="D55" s="33" t="s">
        <v>214</v>
      </c>
      <c r="E55" s="34" t="s">
        <v>8</v>
      </c>
      <c r="F55" s="33" t="s">
        <v>71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3">
        <v>17</v>
      </c>
      <c r="B56" s="34" t="s">
        <v>280</v>
      </c>
      <c r="C56" s="35">
        <v>17</v>
      </c>
      <c r="D56" s="33" t="s">
        <v>222</v>
      </c>
      <c r="E56" s="34" t="s">
        <v>60</v>
      </c>
      <c r="F56" s="33" t="s">
        <v>68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312</v>
      </c>
      <c r="C57" s="28">
        <v>17</v>
      </c>
      <c r="D57" s="26">
        <v>1.7</v>
      </c>
      <c r="E57" s="27" t="s">
        <v>60</v>
      </c>
      <c r="F57" s="26" t="s">
        <v>318</v>
      </c>
      <c r="G57" s="29"/>
      <c r="H57" s="21" t="b">
        <f>A57=C57</f>
        <v>1</v>
      </c>
    </row>
    <row r="58" spans="1:8" ht="12.5" x14ac:dyDescent="0.25">
      <c r="A58" s="26">
        <v>17</v>
      </c>
      <c r="B58" s="27" t="s">
        <v>394</v>
      </c>
      <c r="C58" s="28">
        <v>17</v>
      </c>
      <c r="D58" s="26">
        <v>1.3</v>
      </c>
      <c r="E58" s="27" t="s">
        <v>60</v>
      </c>
      <c r="F58" s="26" t="s">
        <v>395</v>
      </c>
      <c r="G58" s="29"/>
      <c r="H58" s="21" t="b">
        <f>A58=C58</f>
        <v>1</v>
      </c>
    </row>
    <row r="59" spans="1:8" ht="12.5" x14ac:dyDescent="0.25">
      <c r="A59" s="33">
        <v>17</v>
      </c>
      <c r="B59" s="34" t="s">
        <v>62</v>
      </c>
      <c r="C59" s="35">
        <v>17</v>
      </c>
      <c r="D59" s="33" t="s">
        <v>215</v>
      </c>
      <c r="E59" s="34" t="s">
        <v>8</v>
      </c>
      <c r="F59" s="33" t="s">
        <v>63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3">
        <v>17</v>
      </c>
      <c r="B60" s="34" t="s">
        <v>59</v>
      </c>
      <c r="C60" s="35">
        <v>17</v>
      </c>
      <c r="D60" s="33" t="s">
        <v>216</v>
      </c>
      <c r="E60" s="34" t="s">
        <v>60</v>
      </c>
      <c r="F60" s="33" t="s">
        <v>61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314</v>
      </c>
      <c r="C61" s="28">
        <v>17</v>
      </c>
      <c r="D61" s="26">
        <v>3</v>
      </c>
      <c r="E61" s="27" t="s">
        <v>60</v>
      </c>
      <c r="F61" s="26" t="s">
        <v>320</v>
      </c>
      <c r="G61" s="29"/>
      <c r="H61" s="21" t="b">
        <f>A61=C61</f>
        <v>1</v>
      </c>
    </row>
    <row r="62" spans="1:8" ht="12.5" x14ac:dyDescent="0.25">
      <c r="A62" s="26">
        <v>17</v>
      </c>
      <c r="B62" s="27" t="s">
        <v>339</v>
      </c>
      <c r="C62" s="28">
        <v>17</v>
      </c>
      <c r="D62" s="26">
        <v>3.3</v>
      </c>
      <c r="E62" s="27" t="s">
        <v>8</v>
      </c>
      <c r="F62" s="26" t="s">
        <v>347</v>
      </c>
      <c r="G62" s="29" t="str">
        <f>IF(Consulta!$B$1="", "", IF(OR(IFERROR(SEARCH(Consulta!$B$1,B62),0)&gt;0,IFERROR(SEARCH(Consulta!$B$1,E62),0)&gt;0,IFERROR(SEARCH(Consulta!$B$1,F62),0)&gt;0), MAX($G$1:G60)+1, ""))</f>
        <v/>
      </c>
      <c r="H62" s="21" t="b">
        <f>A62=C62</f>
        <v>1</v>
      </c>
    </row>
    <row r="63" spans="1:8" ht="12.5" x14ac:dyDescent="0.25">
      <c r="A63" s="26">
        <v>17</v>
      </c>
      <c r="B63" s="27" t="s">
        <v>315</v>
      </c>
      <c r="C63" s="28">
        <v>17</v>
      </c>
      <c r="D63" s="26">
        <v>1.9</v>
      </c>
      <c r="E63" s="27" t="s">
        <v>60</v>
      </c>
      <c r="F63" s="26" t="s">
        <v>321</v>
      </c>
      <c r="G63" s="29"/>
      <c r="H63" s="21" t="b">
        <f>A63=C63</f>
        <v>1</v>
      </c>
    </row>
    <row r="64" spans="1:8" ht="12.5" x14ac:dyDescent="0.25">
      <c r="A64" s="36">
        <v>17</v>
      </c>
      <c r="B64" s="37" t="s">
        <v>288</v>
      </c>
      <c r="C64" s="38">
        <v>17</v>
      </c>
      <c r="D64" s="36" t="s">
        <v>219</v>
      </c>
      <c r="E64" s="37" t="s">
        <v>60</v>
      </c>
      <c r="F64" s="36" t="s">
        <v>111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26">
        <v>17</v>
      </c>
      <c r="B65" s="27" t="s">
        <v>401</v>
      </c>
      <c r="C65" s="28">
        <v>17</v>
      </c>
      <c r="D65" s="26">
        <v>2.4</v>
      </c>
      <c r="E65" s="27" t="s">
        <v>8</v>
      </c>
      <c r="F65" s="26" t="s">
        <v>399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26">
        <v>17</v>
      </c>
      <c r="B66" s="27" t="s">
        <v>313</v>
      </c>
      <c r="C66" s="28">
        <v>17</v>
      </c>
      <c r="D66" s="26">
        <v>2.5</v>
      </c>
      <c r="E66" s="27" t="s">
        <v>60</v>
      </c>
      <c r="F66" s="26" t="s">
        <v>319</v>
      </c>
      <c r="G66" s="29"/>
      <c r="H66" s="21" t="b">
        <f>A66=C66</f>
        <v>1</v>
      </c>
    </row>
    <row r="67" spans="1:8" ht="12.5" x14ac:dyDescent="0.25">
      <c r="A67" s="26">
        <v>17</v>
      </c>
      <c r="B67" s="27" t="s">
        <v>316</v>
      </c>
      <c r="C67" s="28">
        <v>17</v>
      </c>
      <c r="D67" s="26">
        <v>2</v>
      </c>
      <c r="E67" s="27" t="s">
        <v>60</v>
      </c>
      <c r="F67" s="26" t="s">
        <v>322</v>
      </c>
      <c r="G67" s="29"/>
      <c r="H67" s="21" t="b">
        <f>A67=C67</f>
        <v>1</v>
      </c>
    </row>
    <row r="68" spans="1:8" ht="12.5" x14ac:dyDescent="0.25">
      <c r="A68" s="36">
        <v>17</v>
      </c>
      <c r="B68" s="37" t="s">
        <v>106</v>
      </c>
      <c r="C68" s="38">
        <v>17</v>
      </c>
      <c r="D68" s="36" t="s">
        <v>220</v>
      </c>
      <c r="E68" s="37" t="s">
        <v>8</v>
      </c>
      <c r="F68" s="36" t="s">
        <v>107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302</v>
      </c>
      <c r="C69" s="38">
        <v>17</v>
      </c>
      <c r="D69" s="36" t="s">
        <v>229</v>
      </c>
      <c r="E69" s="37" t="s">
        <v>303</v>
      </c>
      <c r="F69" s="36" t="s">
        <v>105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52</v>
      </c>
      <c r="C70" s="35">
        <v>17</v>
      </c>
      <c r="D70" s="33" t="s">
        <v>207</v>
      </c>
      <c r="E70" s="34" t="s">
        <v>8</v>
      </c>
      <c r="F70" s="33" t="s">
        <v>53</v>
      </c>
      <c r="G70" s="29" t="str">
        <f>IF(Consulta!$B$1="", "", IF(OR(IFERROR(SEARCH(Consulta!$B$1,B70),0)&gt;0,IFERROR(SEARCH(Consulta!$B$1,E70),0)&gt;0,IFERROR(SEARCH(Consulta!$B$1,F70),0)&gt;0), MAX($G$1:G65)+1, ""))</f>
        <v/>
      </c>
      <c r="H70" s="21" t="b">
        <f>A70=C70</f>
        <v>1</v>
      </c>
    </row>
    <row r="71" spans="1:8" ht="12.5" x14ac:dyDescent="0.25">
      <c r="A71" s="26">
        <v>17</v>
      </c>
      <c r="B71" s="27" t="s">
        <v>366</v>
      </c>
      <c r="C71" s="28">
        <v>17</v>
      </c>
      <c r="D71" s="26">
        <v>1.8</v>
      </c>
      <c r="E71" s="27" t="s">
        <v>8</v>
      </c>
      <c r="F71" s="26" t="s">
        <v>352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26">
        <v>17</v>
      </c>
      <c r="B72" s="27" t="s">
        <v>386</v>
      </c>
      <c r="C72" s="28">
        <v>17</v>
      </c>
      <c r="D72" s="26">
        <v>1.4</v>
      </c>
      <c r="E72" s="31" t="s">
        <v>8</v>
      </c>
      <c r="F72" s="26" t="s">
        <v>352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26">
        <v>17</v>
      </c>
      <c r="B73" s="27" t="s">
        <v>377</v>
      </c>
      <c r="C73" s="28">
        <v>17</v>
      </c>
      <c r="D73" s="26">
        <v>1.2</v>
      </c>
      <c r="E73" s="27" t="s">
        <v>8</v>
      </c>
      <c r="F73" s="26" t="s">
        <v>378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3">
        <v>17</v>
      </c>
      <c r="B74" s="34" t="s">
        <v>48</v>
      </c>
      <c r="C74" s="35">
        <v>17</v>
      </c>
      <c r="D74" s="33" t="s">
        <v>211</v>
      </c>
      <c r="E74" s="34" t="s">
        <v>8</v>
      </c>
      <c r="F74" s="33" t="s">
        <v>49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6">
        <v>17</v>
      </c>
      <c r="B75" s="37" t="s">
        <v>97</v>
      </c>
      <c r="C75" s="38">
        <v>17</v>
      </c>
      <c r="D75" s="36" t="s">
        <v>219</v>
      </c>
      <c r="E75" s="37" t="s">
        <v>8</v>
      </c>
      <c r="F75" s="36" t="s">
        <v>98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26">
        <v>17</v>
      </c>
      <c r="B76" s="27" t="s">
        <v>42</v>
      </c>
      <c r="C76" s="28">
        <v>17</v>
      </c>
      <c r="D76" s="26" t="s">
        <v>206</v>
      </c>
      <c r="E76" s="27" t="s">
        <v>8</v>
      </c>
      <c r="F76" s="26" t="s">
        <v>43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6">
        <v>17</v>
      </c>
      <c r="B77" s="37" t="s">
        <v>93</v>
      </c>
      <c r="C77" s="38">
        <v>17</v>
      </c>
      <c r="D77" s="36" t="s">
        <v>217</v>
      </c>
      <c r="E77" s="37" t="s">
        <v>8</v>
      </c>
      <c r="F77" s="36" t="s">
        <v>94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26">
        <v>17</v>
      </c>
      <c r="B78" s="27" t="s">
        <v>398</v>
      </c>
      <c r="C78" s="28">
        <v>17</v>
      </c>
      <c r="D78" s="26">
        <v>2</v>
      </c>
      <c r="E78" s="27" t="s">
        <v>8</v>
      </c>
      <c r="F78" s="26" t="s">
        <v>397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26">
        <v>17</v>
      </c>
      <c r="B79" s="27" t="s">
        <v>407</v>
      </c>
      <c r="C79" s="28">
        <v>17</v>
      </c>
      <c r="D79" s="26">
        <v>2.5</v>
      </c>
      <c r="E79" s="27" t="s">
        <v>244</v>
      </c>
      <c r="F79" s="26" t="s">
        <v>202</v>
      </c>
      <c r="G79" s="29" t="str">
        <f>IF(Consulta!$B$1="", "", IF(OR(IFERROR(SEARCH(Consulta!$B$1,B79),0)&gt;0,IFERROR(SEARCH(Consulta!$B$1,E79),0)&gt;0,IFERROR(SEARCH(Consulta!$B$1,F79),0)&gt;0), MAX($G$1:G77)+1, ""))</f>
        <v/>
      </c>
      <c r="H79" s="21" t="b">
        <f>A79=C79</f>
        <v>1</v>
      </c>
    </row>
    <row r="80" spans="1:8" ht="12.5" x14ac:dyDescent="0.25">
      <c r="A80" s="33">
        <v>17</v>
      </c>
      <c r="B80" s="34" t="s">
        <v>326</v>
      </c>
      <c r="C80" s="35">
        <v>17</v>
      </c>
      <c r="D80" s="33">
        <v>1.9</v>
      </c>
      <c r="E80" s="34" t="s">
        <v>60</v>
      </c>
      <c r="F80" s="33" t="s">
        <v>328</v>
      </c>
      <c r="G80" s="29" t="s">
        <v>325</v>
      </c>
      <c r="H80" s="21" t="b">
        <v>1</v>
      </c>
    </row>
    <row r="81" spans="1:8" ht="12.5" x14ac:dyDescent="0.25">
      <c r="A81" s="33">
        <v>17</v>
      </c>
      <c r="B81" s="34" t="s">
        <v>324</v>
      </c>
      <c r="C81" s="35">
        <v>17</v>
      </c>
      <c r="D81" s="33">
        <v>1.9</v>
      </c>
      <c r="E81" s="34" t="s">
        <v>60</v>
      </c>
      <c r="F81" s="33" t="s">
        <v>328</v>
      </c>
      <c r="G81" s="29" t="s">
        <v>325</v>
      </c>
      <c r="H81" s="21" t="b">
        <v>1</v>
      </c>
    </row>
    <row r="82" spans="1:8" ht="12.5" x14ac:dyDescent="0.25">
      <c r="A82" s="33">
        <v>17</v>
      </c>
      <c r="B82" s="34" t="s">
        <v>327</v>
      </c>
      <c r="C82" s="35">
        <v>17</v>
      </c>
      <c r="D82" s="33">
        <v>1.9</v>
      </c>
      <c r="E82" s="34" t="s">
        <v>60</v>
      </c>
      <c r="F82" s="33" t="s">
        <v>328</v>
      </c>
      <c r="G82" s="29" t="s">
        <v>325</v>
      </c>
      <c r="H82" s="21" t="b">
        <v>1</v>
      </c>
    </row>
    <row r="83" spans="1:8" ht="12.5" x14ac:dyDescent="0.25">
      <c r="A83" s="33">
        <v>17</v>
      </c>
      <c r="B83" s="34" t="s">
        <v>36</v>
      </c>
      <c r="C83" s="35">
        <v>17</v>
      </c>
      <c r="D83" s="33" t="s">
        <v>214</v>
      </c>
      <c r="E83" s="34" t="s">
        <v>8</v>
      </c>
      <c r="F83" s="33" t="s">
        <v>37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6">
        <v>17</v>
      </c>
      <c r="B84" s="37" t="s">
        <v>83</v>
      </c>
      <c r="C84" s="38">
        <v>17</v>
      </c>
      <c r="D84" s="36" t="s">
        <v>219</v>
      </c>
      <c r="E84" s="37" t="s">
        <v>8</v>
      </c>
      <c r="F84" s="36" t="s">
        <v>84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3">
        <v>17</v>
      </c>
      <c r="B85" s="34" t="s">
        <v>31</v>
      </c>
      <c r="C85" s="35">
        <v>17</v>
      </c>
      <c r="D85" s="33" t="s">
        <v>208</v>
      </c>
      <c r="E85" s="34" t="s">
        <v>8</v>
      </c>
      <c r="F85" s="33" t="s">
        <v>32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3">
        <v>17</v>
      </c>
      <c r="B86" s="34" t="s">
        <v>29</v>
      </c>
      <c r="C86" s="35">
        <v>17</v>
      </c>
      <c r="D86" s="33" t="s">
        <v>207</v>
      </c>
      <c r="E86" s="34" t="s">
        <v>8</v>
      </c>
      <c r="F86" s="33" t="s">
        <v>30</v>
      </c>
      <c r="G86" s="29" t="s">
        <v>325</v>
      </c>
      <c r="H86" s="21" t="b">
        <v>1</v>
      </c>
    </row>
    <row r="87" spans="1:8" ht="12.5" x14ac:dyDescent="0.25">
      <c r="A87" s="30">
        <v>20</v>
      </c>
      <c r="B87" s="31" t="s">
        <v>146</v>
      </c>
      <c r="C87" s="32">
        <v>20</v>
      </c>
      <c r="D87" s="30" t="s">
        <v>206</v>
      </c>
      <c r="E87" s="31" t="s">
        <v>8</v>
      </c>
      <c r="F87" s="30" t="s">
        <v>147</v>
      </c>
      <c r="G87" s="29" t="str">
        <f>IF(Consulta!$B$1="", "", IF(OR(IFERROR(SEARCH(Consulta!$B$1,B87),0)&gt;0,IFERROR(SEARCH(Consulta!$B$1,E87),0)&gt;0,IFERROR(SEARCH(Consulta!$B$1,F87),0)&gt;0), MAX($G$1:G83)+1, ""))</f>
        <v/>
      </c>
      <c r="H87" s="21" t="b">
        <f>A87=C87</f>
        <v>1</v>
      </c>
    </row>
    <row r="88" spans="1:8" ht="12.5" x14ac:dyDescent="0.25">
      <c r="A88" s="30">
        <v>20</v>
      </c>
      <c r="B88" s="31" t="s">
        <v>144</v>
      </c>
      <c r="C88" s="32">
        <v>20</v>
      </c>
      <c r="D88" s="30" t="s">
        <v>209</v>
      </c>
      <c r="E88" s="31" t="s">
        <v>8</v>
      </c>
      <c r="F88" s="30" t="s">
        <v>145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26">
        <v>20</v>
      </c>
      <c r="B89" s="27" t="s">
        <v>382</v>
      </c>
      <c r="C89" s="28">
        <v>20</v>
      </c>
      <c r="D89" s="26">
        <v>2.2999999999999998</v>
      </c>
      <c r="E89" s="27" t="s">
        <v>60</v>
      </c>
      <c r="F89" s="26" t="s">
        <v>383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142</v>
      </c>
      <c r="C90" s="32">
        <v>20</v>
      </c>
      <c r="D90" s="30" t="s">
        <v>211</v>
      </c>
      <c r="E90" s="31" t="s">
        <v>8</v>
      </c>
      <c r="F90" s="30" t="s">
        <v>143</v>
      </c>
      <c r="G90" s="29" t="str">
        <f>IF(Consulta!$B$1="", "", IF(OR(IFERROR(SEARCH(Consulta!$B$1,B90),0)&gt;0,IFERROR(SEARCH(Consulta!$B$1,E90),0)&gt;0,IFERROR(SEARCH(Consulta!$B$1,F90),0)&gt;0), MAX($G$1:G88)+1, ""))</f>
        <v/>
      </c>
      <c r="H90" s="21" t="b">
        <f>A90=C90</f>
        <v>1</v>
      </c>
    </row>
    <row r="91" spans="1:8" ht="12.5" x14ac:dyDescent="0.25">
      <c r="A91" s="30">
        <v>20</v>
      </c>
      <c r="B91" s="31" t="s">
        <v>140</v>
      </c>
      <c r="C91" s="32">
        <v>20</v>
      </c>
      <c r="D91" s="30" t="s">
        <v>216</v>
      </c>
      <c r="E91" s="31" t="s">
        <v>304</v>
      </c>
      <c r="F91" s="30" t="s">
        <v>141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6">
        <v>20</v>
      </c>
      <c r="B92" s="37" t="s">
        <v>332</v>
      </c>
      <c r="C92" s="38">
        <v>20</v>
      </c>
      <c r="D92" s="36">
        <v>3.4</v>
      </c>
      <c r="E92" s="37" t="s">
        <v>335</v>
      </c>
      <c r="F92" s="36" t="s">
        <v>333</v>
      </c>
      <c r="G92" s="29"/>
      <c r="H92" s="21" t="b">
        <f>A92=C92</f>
        <v>1</v>
      </c>
    </row>
    <row r="93" spans="1:8" ht="12.5" x14ac:dyDescent="0.25">
      <c r="A93" s="36">
        <v>20</v>
      </c>
      <c r="B93" s="37" t="s">
        <v>330</v>
      </c>
      <c r="C93" s="38">
        <v>20</v>
      </c>
      <c r="D93" s="36">
        <v>3.3</v>
      </c>
      <c r="E93" s="37" t="s">
        <v>335</v>
      </c>
      <c r="F93" s="36" t="s">
        <v>331</v>
      </c>
      <c r="G93" s="29"/>
      <c r="H93" s="21" t="b">
        <f>A93=C93</f>
        <v>1</v>
      </c>
    </row>
    <row r="94" spans="1:8" ht="12.5" x14ac:dyDescent="0.25">
      <c r="A94" s="30">
        <v>20</v>
      </c>
      <c r="B94" s="31" t="s">
        <v>138</v>
      </c>
      <c r="C94" s="32">
        <v>20</v>
      </c>
      <c r="D94" s="30" t="s">
        <v>223</v>
      </c>
      <c r="E94" s="31" t="s">
        <v>8</v>
      </c>
      <c r="F94" s="30" t="s">
        <v>139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254</v>
      </c>
      <c r="C95" s="32">
        <v>20</v>
      </c>
      <c r="D95" s="30" t="s">
        <v>225</v>
      </c>
      <c r="E95" s="31" t="s">
        <v>8</v>
      </c>
      <c r="F95" s="30" t="s">
        <v>255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253</v>
      </c>
      <c r="C96" s="32">
        <v>20</v>
      </c>
      <c r="D96" s="30">
        <v>4.2</v>
      </c>
      <c r="E96" s="31" t="s">
        <v>304</v>
      </c>
      <c r="F96" s="30">
        <v>21765430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136</v>
      </c>
      <c r="C97" s="32">
        <v>20</v>
      </c>
      <c r="D97" s="30" t="s">
        <v>210</v>
      </c>
      <c r="E97" s="31" t="s">
        <v>8</v>
      </c>
      <c r="F97" s="30" t="s">
        <v>137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264</v>
      </c>
      <c r="C98" s="32">
        <v>20</v>
      </c>
      <c r="D98" s="30" t="s">
        <v>222</v>
      </c>
      <c r="E98" s="31" t="s">
        <v>8</v>
      </c>
      <c r="F98" s="30" t="s">
        <v>135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133</v>
      </c>
      <c r="C99" s="32">
        <v>20</v>
      </c>
      <c r="D99" s="30" t="s">
        <v>219</v>
      </c>
      <c r="E99" s="31" t="s">
        <v>304</v>
      </c>
      <c r="F99" s="30" t="s">
        <v>134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0">
        <v>20</v>
      </c>
      <c r="B100" s="31" t="s">
        <v>130</v>
      </c>
      <c r="C100" s="32">
        <v>20</v>
      </c>
      <c r="D100" s="30" t="s">
        <v>214</v>
      </c>
      <c r="E100" s="31" t="s">
        <v>131</v>
      </c>
      <c r="F100" s="30" t="s">
        <v>132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20</v>
      </c>
      <c r="B101" s="27" t="s">
        <v>311</v>
      </c>
      <c r="C101" s="28">
        <v>20</v>
      </c>
      <c r="D101" s="26">
        <v>2.2000000000000002</v>
      </c>
      <c r="E101" s="27" t="s">
        <v>60</v>
      </c>
      <c r="F101" s="26" t="s">
        <v>317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20</v>
      </c>
      <c r="B102" s="27" t="s">
        <v>385</v>
      </c>
      <c r="C102" s="28">
        <v>20</v>
      </c>
      <c r="D102" s="26">
        <v>2.5</v>
      </c>
      <c r="E102" s="27" t="s">
        <v>60</v>
      </c>
      <c r="F102" s="26" t="s">
        <v>384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128</v>
      </c>
      <c r="C103" s="32">
        <v>20</v>
      </c>
      <c r="D103" s="30" t="s">
        <v>220</v>
      </c>
      <c r="E103" s="31" t="s">
        <v>8</v>
      </c>
      <c r="F103" s="30" t="s">
        <v>129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0">
        <v>20</v>
      </c>
      <c r="B104" s="31" t="s">
        <v>126</v>
      </c>
      <c r="C104" s="32">
        <v>20</v>
      </c>
      <c r="D104" s="30" t="s">
        <v>234</v>
      </c>
      <c r="E104" s="31" t="s">
        <v>304</v>
      </c>
      <c r="F104" s="30" t="s">
        <v>127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20</v>
      </c>
      <c r="B105" s="27" t="s">
        <v>373</v>
      </c>
      <c r="C105" s="28">
        <v>20</v>
      </c>
      <c r="D105" s="26">
        <v>2.7</v>
      </c>
      <c r="E105" s="27" t="s">
        <v>244</v>
      </c>
      <c r="F105" s="26" t="s">
        <v>349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124</v>
      </c>
      <c r="C106" s="32">
        <v>20</v>
      </c>
      <c r="D106" s="30" t="s">
        <v>230</v>
      </c>
      <c r="E106" s="31" t="s">
        <v>8</v>
      </c>
      <c r="F106" s="30" t="s">
        <v>125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122</v>
      </c>
      <c r="C107" s="32">
        <v>20</v>
      </c>
      <c r="D107" s="30" t="s">
        <v>215</v>
      </c>
      <c r="E107" s="31" t="s">
        <v>8</v>
      </c>
      <c r="F107" s="30" t="s">
        <v>123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0">
        <v>20</v>
      </c>
      <c r="B108" s="31" t="s">
        <v>120</v>
      </c>
      <c r="C108" s="32">
        <v>20</v>
      </c>
      <c r="D108" s="30" t="s">
        <v>223</v>
      </c>
      <c r="E108" s="31" t="s">
        <v>304</v>
      </c>
      <c r="F108" s="30" t="s">
        <v>121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20</v>
      </c>
      <c r="B109" s="27" t="s">
        <v>367</v>
      </c>
      <c r="C109" s="28">
        <v>20</v>
      </c>
      <c r="D109" s="26">
        <v>1.5</v>
      </c>
      <c r="E109" s="31" t="s">
        <v>298</v>
      </c>
      <c r="F109" s="26" t="s">
        <v>368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256</v>
      </c>
      <c r="C110" s="32">
        <v>20</v>
      </c>
      <c r="D110" s="30" t="s">
        <v>225</v>
      </c>
      <c r="E110" s="31" t="s">
        <v>8</v>
      </c>
      <c r="F110" s="30" t="s">
        <v>257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118</v>
      </c>
      <c r="C111" s="32">
        <v>20</v>
      </c>
      <c r="D111" s="30" t="s">
        <v>227</v>
      </c>
      <c r="E111" s="31" t="s">
        <v>8</v>
      </c>
      <c r="F111" s="30" t="s">
        <v>119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116</v>
      </c>
      <c r="C112" s="32">
        <v>20</v>
      </c>
      <c r="D112" s="30" t="s">
        <v>208</v>
      </c>
      <c r="E112" s="31" t="s">
        <v>8</v>
      </c>
      <c r="F112" s="30" t="s">
        <v>117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0">
        <v>20</v>
      </c>
      <c r="B113" s="31" t="s">
        <v>114</v>
      </c>
      <c r="C113" s="32">
        <v>20</v>
      </c>
      <c r="D113" s="30" t="s">
        <v>212</v>
      </c>
      <c r="E113" s="31" t="s">
        <v>8</v>
      </c>
      <c r="F113" s="30" t="s">
        <v>115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26">
        <v>20</v>
      </c>
      <c r="B114" s="27" t="s">
        <v>296</v>
      </c>
      <c r="C114" s="28">
        <v>20</v>
      </c>
      <c r="D114" s="26">
        <v>2.4</v>
      </c>
      <c r="E114" s="27" t="s">
        <v>298</v>
      </c>
      <c r="F114" s="26" t="s">
        <v>297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112</v>
      </c>
      <c r="C115" s="32">
        <v>20</v>
      </c>
      <c r="D115" s="30" t="s">
        <v>219</v>
      </c>
      <c r="E115" s="31" t="s">
        <v>8</v>
      </c>
      <c r="F115" s="30" t="s">
        <v>113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110</v>
      </c>
      <c r="C116" s="32">
        <v>20</v>
      </c>
      <c r="D116" s="30" t="s">
        <v>222</v>
      </c>
      <c r="E116" s="31" t="s">
        <v>298</v>
      </c>
      <c r="F116" s="30" t="s">
        <v>111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0">
        <v>20</v>
      </c>
      <c r="B117" s="31" t="s">
        <v>108</v>
      </c>
      <c r="C117" s="32">
        <v>20</v>
      </c>
      <c r="D117" s="30" t="s">
        <v>218</v>
      </c>
      <c r="E117" s="31" t="s">
        <v>8</v>
      </c>
      <c r="F117" s="30" t="s">
        <v>109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6">
        <v>20</v>
      </c>
      <c r="B118" s="37" t="s">
        <v>329</v>
      </c>
      <c r="C118" s="38">
        <v>20</v>
      </c>
      <c r="D118" s="36">
        <v>3</v>
      </c>
      <c r="E118" s="37" t="s">
        <v>303</v>
      </c>
      <c r="F118" s="36" t="s">
        <v>105</v>
      </c>
      <c r="G118" s="29"/>
      <c r="H118" s="21" t="b">
        <f>A118=C118</f>
        <v>1</v>
      </c>
    </row>
    <row r="119" spans="1:8" ht="12.5" x14ac:dyDescent="0.25">
      <c r="A119" s="26">
        <v>20</v>
      </c>
      <c r="B119" s="27" t="s">
        <v>301</v>
      </c>
      <c r="C119" s="28">
        <v>20</v>
      </c>
      <c r="D119" s="26">
        <v>2.4</v>
      </c>
      <c r="E119" s="27" t="s">
        <v>298</v>
      </c>
      <c r="F119" s="26" t="s">
        <v>300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364</v>
      </c>
      <c r="C120" s="32">
        <v>20</v>
      </c>
      <c r="D120" s="30">
        <v>2.4</v>
      </c>
      <c r="E120" s="31" t="s">
        <v>60</v>
      </c>
      <c r="F120" s="30" t="s">
        <v>365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0">
        <v>20</v>
      </c>
      <c r="B121" s="31" t="s">
        <v>103</v>
      </c>
      <c r="C121" s="32">
        <v>20</v>
      </c>
      <c r="D121" s="30" t="s">
        <v>214</v>
      </c>
      <c r="E121" s="31" t="s">
        <v>60</v>
      </c>
      <c r="F121" s="30" t="s">
        <v>104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20</v>
      </c>
      <c r="B122" s="27" t="s">
        <v>338</v>
      </c>
      <c r="C122" s="28">
        <v>20</v>
      </c>
      <c r="D122" s="26">
        <v>2.5</v>
      </c>
      <c r="E122" s="27" t="s">
        <v>81</v>
      </c>
      <c r="F122" s="26" t="s">
        <v>342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6">
        <v>20</v>
      </c>
      <c r="B123" s="37" t="s">
        <v>334</v>
      </c>
      <c r="C123" s="38">
        <v>20</v>
      </c>
      <c r="D123" s="36">
        <v>3.2</v>
      </c>
      <c r="E123" s="37" t="s">
        <v>335</v>
      </c>
      <c r="F123" s="36" t="s">
        <v>331</v>
      </c>
      <c r="G123" s="29"/>
      <c r="H123" s="21" t="b">
        <f>A123=C123</f>
        <v>1</v>
      </c>
    </row>
    <row r="124" spans="1:8" ht="12.5" x14ac:dyDescent="0.25">
      <c r="A124" s="30">
        <v>20</v>
      </c>
      <c r="B124" s="31" t="s">
        <v>101</v>
      </c>
      <c r="C124" s="32">
        <v>20</v>
      </c>
      <c r="D124" s="30" t="s">
        <v>207</v>
      </c>
      <c r="E124" s="31" t="s">
        <v>8</v>
      </c>
      <c r="F124" s="30" t="s">
        <v>102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262</v>
      </c>
      <c r="C125" s="32">
        <v>20</v>
      </c>
      <c r="D125" s="30">
        <v>6.2</v>
      </c>
      <c r="E125" s="31" t="s">
        <v>8</v>
      </c>
      <c r="F125" s="30" t="s">
        <v>263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30">
        <v>20</v>
      </c>
      <c r="B126" s="31" t="s">
        <v>99</v>
      </c>
      <c r="C126" s="32">
        <v>20</v>
      </c>
      <c r="D126" s="30" t="s">
        <v>215</v>
      </c>
      <c r="E126" s="31" t="s">
        <v>298</v>
      </c>
      <c r="F126" s="30" t="s">
        <v>100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20</v>
      </c>
      <c r="B127" s="27" t="s">
        <v>299</v>
      </c>
      <c r="C127" s="28">
        <v>20</v>
      </c>
      <c r="D127" s="26">
        <v>2.4</v>
      </c>
      <c r="E127" s="27" t="s">
        <v>298</v>
      </c>
      <c r="F127" s="26" t="s">
        <v>300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30">
        <v>20</v>
      </c>
      <c r="B128" s="31" t="s">
        <v>95</v>
      </c>
      <c r="C128" s="32">
        <v>20</v>
      </c>
      <c r="D128" s="30" t="s">
        <v>216</v>
      </c>
      <c r="E128" s="31" t="s">
        <v>8</v>
      </c>
      <c r="F128" s="30" t="s">
        <v>96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20</v>
      </c>
      <c r="B129" s="27" t="s">
        <v>309</v>
      </c>
      <c r="C129" s="28">
        <v>23</v>
      </c>
      <c r="D129" s="26">
        <v>3.9</v>
      </c>
      <c r="E129" s="27" t="s">
        <v>308</v>
      </c>
      <c r="F129" s="26" t="s">
        <v>310</v>
      </c>
      <c r="G129" s="29" t="str">
        <f>IF(Consulta!$B$1="", "", IF(OR(IFERROR(SEARCH(Consulta!$B$1,B129),0)&gt;0,IFERROR(SEARCH(Consulta!$B$1,E129),0)&gt;0,IFERROR(SEARCH(Consulta!$B$1,F129),0)&gt;0), MAX($G$1:G127)+1, ""))</f>
        <v/>
      </c>
      <c r="H129" s="21" t="b">
        <f>A129=C129</f>
        <v>0</v>
      </c>
    </row>
    <row r="130" spans="1:8" ht="12.5" x14ac:dyDescent="0.25">
      <c r="A130" s="26">
        <v>20</v>
      </c>
      <c r="B130" s="27" t="s">
        <v>353</v>
      </c>
      <c r="C130" s="28">
        <v>20</v>
      </c>
      <c r="D130" s="26">
        <v>2.4</v>
      </c>
      <c r="E130" s="27" t="s">
        <v>81</v>
      </c>
      <c r="F130" s="26" t="s">
        <v>354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0">
        <v>20</v>
      </c>
      <c r="B131" s="31" t="s">
        <v>91</v>
      </c>
      <c r="C131" s="32">
        <v>20</v>
      </c>
      <c r="D131" s="30" t="s">
        <v>218</v>
      </c>
      <c r="E131" s="31" t="s">
        <v>8</v>
      </c>
      <c r="F131" s="30" t="s">
        <v>92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20</v>
      </c>
      <c r="B132" s="31" t="s">
        <v>89</v>
      </c>
      <c r="C132" s="32">
        <v>20</v>
      </c>
      <c r="D132" s="30" t="s">
        <v>223</v>
      </c>
      <c r="E132" s="31" t="s">
        <v>8</v>
      </c>
      <c r="F132" s="30" t="s">
        <v>90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0">
        <v>20</v>
      </c>
      <c r="B133" s="31" t="s">
        <v>289</v>
      </c>
      <c r="C133" s="32">
        <v>20</v>
      </c>
      <c r="D133" s="30">
        <v>1.8</v>
      </c>
      <c r="E133" s="31" t="s">
        <v>290</v>
      </c>
      <c r="F133" s="30" t="s">
        <v>90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0">
        <v>20</v>
      </c>
      <c r="B134" s="31" t="s">
        <v>87</v>
      </c>
      <c r="C134" s="32">
        <v>20</v>
      </c>
      <c r="D134" s="30" t="s">
        <v>222</v>
      </c>
      <c r="E134" s="31" t="s">
        <v>8</v>
      </c>
      <c r="F134" s="30" t="s">
        <v>88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0">
        <v>20</v>
      </c>
      <c r="B135" s="31" t="s">
        <v>85</v>
      </c>
      <c r="C135" s="32">
        <v>20</v>
      </c>
      <c r="D135" s="30" t="s">
        <v>220</v>
      </c>
      <c r="E135" s="31" t="s">
        <v>8</v>
      </c>
      <c r="F135" s="30" t="s">
        <v>86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0">
        <v>20</v>
      </c>
      <c r="B136" s="31" t="s">
        <v>80</v>
      </c>
      <c r="C136" s="32">
        <v>20</v>
      </c>
      <c r="D136" s="30" t="s">
        <v>218</v>
      </c>
      <c r="E136" s="31" t="s">
        <v>81</v>
      </c>
      <c r="F136" s="30" t="s">
        <v>82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0">
        <v>20</v>
      </c>
      <c r="B137" s="31" t="s">
        <v>78</v>
      </c>
      <c r="C137" s="32">
        <v>20</v>
      </c>
      <c r="D137" s="30" t="s">
        <v>217</v>
      </c>
      <c r="E137" s="31" t="s">
        <v>8</v>
      </c>
      <c r="F137" s="30" t="s">
        <v>79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30">
        <v>20</v>
      </c>
      <c r="B138" s="31" t="s">
        <v>76</v>
      </c>
      <c r="C138" s="32">
        <v>20</v>
      </c>
      <c r="D138" s="30" t="s">
        <v>216</v>
      </c>
      <c r="E138" s="31" t="s">
        <v>8</v>
      </c>
      <c r="F138" s="30" t="s">
        <v>77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178</v>
      </c>
      <c r="C139" s="28">
        <v>25</v>
      </c>
      <c r="D139" s="26" t="s">
        <v>225</v>
      </c>
      <c r="E139" s="27" t="s">
        <v>8</v>
      </c>
      <c r="F139" s="26" t="s">
        <v>179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176</v>
      </c>
      <c r="C140" s="28">
        <v>25</v>
      </c>
      <c r="D140" s="26" t="s">
        <v>237</v>
      </c>
      <c r="E140" s="27" t="s">
        <v>131</v>
      </c>
      <c r="F140" s="26" t="s">
        <v>177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174</v>
      </c>
      <c r="C141" s="28">
        <v>25</v>
      </c>
      <c r="D141" s="26" t="s">
        <v>231</v>
      </c>
      <c r="E141" s="27" t="s">
        <v>131</v>
      </c>
      <c r="F141" s="26" t="s">
        <v>175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173</v>
      </c>
      <c r="C142" s="28">
        <v>25</v>
      </c>
      <c r="D142" s="26" t="s">
        <v>224</v>
      </c>
      <c r="E142" s="27" t="s">
        <v>8</v>
      </c>
      <c r="F142" s="26" t="s">
        <v>323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357</v>
      </c>
      <c r="C143" s="28">
        <v>25</v>
      </c>
      <c r="D143" s="26">
        <v>3</v>
      </c>
      <c r="E143" s="27" t="s">
        <v>8</v>
      </c>
      <c r="F143" s="26" t="s">
        <v>358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26">
        <v>25</v>
      </c>
      <c r="B144" s="27" t="s">
        <v>172</v>
      </c>
      <c r="C144" s="28">
        <v>25</v>
      </c>
      <c r="D144" s="26">
        <v>2.7</v>
      </c>
      <c r="E144" s="27" t="s">
        <v>81</v>
      </c>
      <c r="F144" s="26" t="s">
        <v>337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25</v>
      </c>
      <c r="B145" s="31" t="s">
        <v>283</v>
      </c>
      <c r="C145" s="32">
        <v>25</v>
      </c>
      <c r="D145" s="30" t="s">
        <v>207</v>
      </c>
      <c r="E145" s="31" t="s">
        <v>282</v>
      </c>
      <c r="F145" s="30" t="s">
        <v>102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30">
        <v>25</v>
      </c>
      <c r="B146" s="31" t="s">
        <v>281</v>
      </c>
      <c r="C146" s="32">
        <v>25</v>
      </c>
      <c r="D146" s="30" t="s">
        <v>207</v>
      </c>
      <c r="E146" s="31" t="s">
        <v>282</v>
      </c>
      <c r="F146" s="30" t="s">
        <v>102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170</v>
      </c>
      <c r="C147" s="28">
        <v>25</v>
      </c>
      <c r="D147" s="26" t="s">
        <v>234</v>
      </c>
      <c r="E147" s="27" t="s">
        <v>244</v>
      </c>
      <c r="F147" s="26" t="s">
        <v>171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168</v>
      </c>
      <c r="C148" s="28">
        <v>25</v>
      </c>
      <c r="D148" s="26" t="s">
        <v>217</v>
      </c>
      <c r="E148" s="27" t="s">
        <v>8</v>
      </c>
      <c r="F148" s="26" t="s">
        <v>169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26">
        <v>25</v>
      </c>
      <c r="B149" s="27" t="s">
        <v>355</v>
      </c>
      <c r="C149" s="28">
        <v>25</v>
      </c>
      <c r="D149" s="26">
        <v>3.4</v>
      </c>
      <c r="E149" s="27" t="s">
        <v>8</v>
      </c>
      <c r="F149" s="26" t="s">
        <v>356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30">
        <v>25</v>
      </c>
      <c r="B150" s="31" t="s">
        <v>277</v>
      </c>
      <c r="C150" s="32">
        <v>25</v>
      </c>
      <c r="D150" s="30" t="s">
        <v>207</v>
      </c>
      <c r="E150" s="31" t="s">
        <v>8</v>
      </c>
      <c r="F150" s="30" t="s">
        <v>102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166</v>
      </c>
      <c r="C151" s="28">
        <v>25</v>
      </c>
      <c r="D151" s="26" t="s">
        <v>221</v>
      </c>
      <c r="E151" s="27" t="s">
        <v>131</v>
      </c>
      <c r="F151" s="26" t="s">
        <v>167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26">
        <v>25</v>
      </c>
      <c r="B152" s="27" t="s">
        <v>164</v>
      </c>
      <c r="C152" s="28">
        <v>25</v>
      </c>
      <c r="D152" s="26" t="s">
        <v>229</v>
      </c>
      <c r="E152" s="27" t="s">
        <v>131</v>
      </c>
      <c r="F152" s="26" t="s">
        <v>165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162</v>
      </c>
      <c r="C153" s="28">
        <v>25</v>
      </c>
      <c r="D153" s="26" t="s">
        <v>232</v>
      </c>
      <c r="E153" s="27" t="s">
        <v>81</v>
      </c>
      <c r="F153" s="26" t="s">
        <v>163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26">
        <v>25</v>
      </c>
      <c r="B154" s="27" t="s">
        <v>160</v>
      </c>
      <c r="C154" s="28">
        <v>25</v>
      </c>
      <c r="D154" s="26" t="s">
        <v>236</v>
      </c>
      <c r="E154" s="27" t="s">
        <v>81</v>
      </c>
      <c r="F154" s="26" t="s">
        <v>161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158</v>
      </c>
      <c r="C155" s="28">
        <v>25</v>
      </c>
      <c r="D155" s="26" t="s">
        <v>228</v>
      </c>
      <c r="E155" s="27" t="s">
        <v>81</v>
      </c>
      <c r="F155" s="26" t="s">
        <v>159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26">
        <v>25</v>
      </c>
      <c r="B156" s="27" t="s">
        <v>391</v>
      </c>
      <c r="C156" s="28">
        <v>25</v>
      </c>
      <c r="D156" s="26">
        <v>3.4</v>
      </c>
      <c r="E156" s="27" t="s">
        <v>81</v>
      </c>
      <c r="F156" s="26" t="s">
        <v>341</v>
      </c>
      <c r="G156" s="29" t="str">
        <f>IF(Consulta!$B$1="", "", IF(OR(IFERROR(SEARCH(Consulta!$B$1,B156),0)&gt;0,IFERROR(SEARCH(Consulta!$B$1,E156),0)&gt;0,IFERROR(SEARCH(Consulta!$B$1,F156),0)&gt;0), MAX($G$1:G155)+1, ""))</f>
        <v/>
      </c>
      <c r="H156" s="21" t="b">
        <f>A156=C156</f>
        <v>1</v>
      </c>
    </row>
    <row r="157" spans="1:8" ht="12.5" x14ac:dyDescent="0.25">
      <c r="A157" s="26">
        <v>25</v>
      </c>
      <c r="B157" s="27" t="s">
        <v>156</v>
      </c>
      <c r="C157" s="28">
        <v>25</v>
      </c>
      <c r="D157" s="26" t="s">
        <v>227</v>
      </c>
      <c r="E157" s="27" t="s">
        <v>81</v>
      </c>
      <c r="F157" s="26" t="s">
        <v>157</v>
      </c>
      <c r="G157" s="29" t="str">
        <f>IF(Consulta!$B$1="", "", IF(OR(IFERROR(SEARCH(Consulta!$B$1,B157),0)&gt;0,IFERROR(SEARCH(Consulta!$B$1,E157),0)&gt;0,IFERROR(SEARCH(Consulta!$B$1,F157),0)&gt;0), MAX($G$1:G155)+1, ""))</f>
        <v/>
      </c>
      <c r="H157" s="21" t="b">
        <f>A157=C157</f>
        <v>1</v>
      </c>
    </row>
    <row r="158" spans="1:8" ht="12.5" x14ac:dyDescent="0.25">
      <c r="A158" s="26">
        <v>25</v>
      </c>
      <c r="B158" s="27" t="s">
        <v>154</v>
      </c>
      <c r="C158" s="28">
        <v>25</v>
      </c>
      <c r="D158" s="26" t="s">
        <v>224</v>
      </c>
      <c r="E158" s="27" t="s">
        <v>8</v>
      </c>
      <c r="F158" s="26" t="s">
        <v>155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25</v>
      </c>
      <c r="B159" s="27" t="s">
        <v>152</v>
      </c>
      <c r="C159" s="28">
        <v>25</v>
      </c>
      <c r="D159" s="26" t="s">
        <v>230</v>
      </c>
      <c r="E159" s="27" t="s">
        <v>131</v>
      </c>
      <c r="F159" s="26" t="s">
        <v>153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26">
        <v>25</v>
      </c>
      <c r="B160" s="27" t="s">
        <v>246</v>
      </c>
      <c r="C160" s="28">
        <v>25</v>
      </c>
      <c r="D160" s="39" t="s">
        <v>229</v>
      </c>
      <c r="E160" s="27" t="s">
        <v>8</v>
      </c>
      <c r="F160" s="26" t="s">
        <v>247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26">
        <v>25</v>
      </c>
      <c r="B161" s="27" t="s">
        <v>150</v>
      </c>
      <c r="C161" s="28">
        <v>25</v>
      </c>
      <c r="D161" s="26" t="s">
        <v>235</v>
      </c>
      <c r="E161" s="27" t="s">
        <v>131</v>
      </c>
      <c r="F161" s="26" t="s">
        <v>151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25</v>
      </c>
      <c r="B162" s="31" t="s">
        <v>287</v>
      </c>
      <c r="C162" s="32">
        <v>25</v>
      </c>
      <c r="D162" s="30" t="s">
        <v>207</v>
      </c>
      <c r="E162" s="31" t="s">
        <v>282</v>
      </c>
      <c r="F162" s="30" t="s">
        <v>102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25</v>
      </c>
      <c r="B163" s="31" t="s">
        <v>285</v>
      </c>
      <c r="C163" s="32">
        <v>25</v>
      </c>
      <c r="D163" s="30" t="s">
        <v>207</v>
      </c>
      <c r="E163" s="31" t="s">
        <v>282</v>
      </c>
      <c r="F163" s="30" t="s">
        <v>102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30">
        <v>25</v>
      </c>
      <c r="B164" s="31" t="s">
        <v>286</v>
      </c>
      <c r="C164" s="32">
        <v>25</v>
      </c>
      <c r="D164" s="30" t="s">
        <v>207</v>
      </c>
      <c r="E164" s="31" t="s">
        <v>282</v>
      </c>
      <c r="F164" s="30" t="s">
        <v>102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>A164=C164</f>
        <v>1</v>
      </c>
    </row>
    <row r="165" spans="1:8" ht="12.5" x14ac:dyDescent="0.25">
      <c r="A165" s="26">
        <v>25</v>
      </c>
      <c r="B165" s="27" t="s">
        <v>251</v>
      </c>
      <c r="C165" s="28">
        <v>25</v>
      </c>
      <c r="D165" s="26">
        <v>2.5</v>
      </c>
      <c r="E165" s="27" t="s">
        <v>131</v>
      </c>
      <c r="F165" s="26" t="s">
        <v>252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30">
        <v>25</v>
      </c>
      <c r="B166" s="31" t="s">
        <v>284</v>
      </c>
      <c r="C166" s="32">
        <v>25</v>
      </c>
      <c r="D166" s="30" t="s">
        <v>207</v>
      </c>
      <c r="E166" s="31" t="s">
        <v>282</v>
      </c>
      <c r="F166" s="30" t="s">
        <v>102</v>
      </c>
      <c r="G166" s="29" t="str">
        <f>IF(Consulta!$B$1="", "", IF(OR(IFERROR(SEARCH(Consulta!$B$1,B166),0)&gt;0,IFERROR(SEARCH(Consulta!$B$1,E166),0)&gt;0,IFERROR(SEARCH(Consulta!$B$1,F166),0)&gt;0), MAX($G$1:G165)+1, ""))</f>
        <v/>
      </c>
      <c r="H166" s="21" t="b">
        <f>A166=C166</f>
        <v>1</v>
      </c>
    </row>
    <row r="167" spans="1:8" ht="12.5" x14ac:dyDescent="0.25">
      <c r="A167" s="26">
        <v>25</v>
      </c>
      <c r="B167" s="27" t="s">
        <v>148</v>
      </c>
      <c r="C167" s="28">
        <v>25</v>
      </c>
      <c r="D167" s="26" t="s">
        <v>226</v>
      </c>
      <c r="E167" s="27" t="s">
        <v>81</v>
      </c>
      <c r="F167" s="26" t="s">
        <v>149</v>
      </c>
      <c r="G167" s="29" t="str">
        <f>IF(Consulta!$B$1="", "", IF(OR(IFERROR(SEARCH(Consulta!$B$1,B167),0)&gt;0,IFERROR(SEARCH(Consulta!$B$1,E167),0)&gt;0,IFERROR(SEARCH(Consulta!$B$1,F167),0)&gt;0), MAX($G$1:G165)+1, ""))</f>
        <v/>
      </c>
      <c r="H167" s="21" t="b">
        <f>A167=C167</f>
        <v>1</v>
      </c>
    </row>
    <row r="168" spans="1:8" ht="12.5" x14ac:dyDescent="0.25">
      <c r="A168" s="30">
        <v>30</v>
      </c>
      <c r="B168" s="31" t="s">
        <v>192</v>
      </c>
      <c r="C168" s="32">
        <v>30</v>
      </c>
      <c r="D168" s="30" t="s">
        <v>232</v>
      </c>
      <c r="E168" s="31" t="s">
        <v>131</v>
      </c>
      <c r="F168" s="30" t="s">
        <v>193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30">
        <v>30</v>
      </c>
      <c r="B169" s="31" t="s">
        <v>191</v>
      </c>
      <c r="C169" s="32">
        <v>30</v>
      </c>
      <c r="D169" s="30" t="s">
        <v>241</v>
      </c>
      <c r="E169" s="31" t="s">
        <v>131</v>
      </c>
      <c r="F169" s="30" t="s">
        <v>190</v>
      </c>
      <c r="G169" s="29" t="str">
        <f>IF(Consulta!$B$1="", "", IF(OR(IFERROR(SEARCH(Consulta!$B$1,B169),0)&gt;0,IFERROR(SEARCH(Consulta!$B$1,E169),0)&gt;0,IFERROR(SEARCH(Consulta!$B$1,F169),0)&gt;0), MAX($G$1:G168)+1, ""))</f>
        <v/>
      </c>
      <c r="H169" s="21" t="b">
        <f>A169=C169</f>
        <v>1</v>
      </c>
    </row>
    <row r="170" spans="1:8" ht="12.5" x14ac:dyDescent="0.25">
      <c r="A170" s="30">
        <v>30</v>
      </c>
      <c r="B170" s="31" t="s">
        <v>189</v>
      </c>
      <c r="C170" s="32">
        <v>30</v>
      </c>
      <c r="D170" s="30" t="s">
        <v>240</v>
      </c>
      <c r="E170" s="31" t="s">
        <v>131</v>
      </c>
      <c r="F170" s="30" t="s">
        <v>190</v>
      </c>
      <c r="G170" s="29" t="str">
        <f>IF(Consulta!$B$1="", "", IF(OR(IFERROR(SEARCH(Consulta!$B$1,B170),0)&gt;0,IFERROR(SEARCH(Consulta!$B$1,E170),0)&gt;0,IFERROR(SEARCH(Consulta!$B$1,F170),0)&gt;0), MAX($G$1:G169)+1, ""))</f>
        <v/>
      </c>
      <c r="H170" s="21" t="b">
        <f>A170=C170</f>
        <v>1</v>
      </c>
    </row>
    <row r="171" spans="1:8" ht="12.5" x14ac:dyDescent="0.25">
      <c r="A171" s="30">
        <v>30</v>
      </c>
      <c r="B171" s="31" t="s">
        <v>245</v>
      </c>
      <c r="C171" s="32">
        <v>30</v>
      </c>
      <c r="D171" s="30" t="s">
        <v>217</v>
      </c>
      <c r="E171" s="31" t="s">
        <v>8</v>
      </c>
      <c r="F171" s="30" t="s">
        <v>188</v>
      </c>
      <c r="G171" s="29" t="str">
        <f>IF(Consulta!$B$1="", "", IF(OR(IFERROR(SEARCH(Consulta!$B$1,B171),0)&gt;0,IFERROR(SEARCH(Consulta!$B$1,E171),0)&gt;0,IFERROR(SEARCH(Consulta!$B$1,F171),0)&gt;0), MAX($G$1:G170)+1, ""))</f>
        <v/>
      </c>
      <c r="H171" s="21" t="b">
        <f>A171=C171</f>
        <v>1</v>
      </c>
    </row>
    <row r="172" spans="1:8" ht="12.5" x14ac:dyDescent="0.25">
      <c r="A172" s="30">
        <v>30</v>
      </c>
      <c r="B172" s="31" t="s">
        <v>404</v>
      </c>
      <c r="C172" s="32">
        <v>30</v>
      </c>
      <c r="D172" s="30">
        <v>6.2</v>
      </c>
      <c r="E172" s="31" t="s">
        <v>131</v>
      </c>
      <c r="F172" s="30" t="s">
        <v>405</v>
      </c>
      <c r="G172" s="29" t="str">
        <f>IF(Consulta!$B$1="", "", IF(OR(IFERROR(SEARCH(Consulta!$B$1,B172),0)&gt;0,IFERROR(SEARCH(Consulta!$B$1,E172),0)&gt;0,IFERROR(SEARCH(Consulta!$B$1,F172),0)&gt;0), MAX($G$1:G170)+1, ""))</f>
        <v/>
      </c>
      <c r="H172" s="21" t="b">
        <f>A172=C172</f>
        <v>1</v>
      </c>
    </row>
    <row r="173" spans="1:8" ht="12.5" x14ac:dyDescent="0.25">
      <c r="A173" s="26">
        <v>30</v>
      </c>
      <c r="B173" s="27" t="s">
        <v>392</v>
      </c>
      <c r="C173" s="28">
        <v>30</v>
      </c>
      <c r="D173" s="26">
        <v>3.6</v>
      </c>
      <c r="E173" s="27" t="s">
        <v>81</v>
      </c>
      <c r="F173" s="26" t="s">
        <v>393</v>
      </c>
      <c r="G173" s="29" t="str">
        <f>IF(Consulta!$B$1="", "", IF(OR(IFERROR(SEARCH(Consulta!$B$1,B173),0)&gt;0,IFERROR(SEARCH(Consulta!$B$1,E173),0)&gt;0,IFERROR(SEARCH(Consulta!$B$1,F173),0)&gt;0), MAX($G$1:G172)+1, ""))</f>
        <v/>
      </c>
      <c r="H173" s="21" t="b">
        <f>A173=C173</f>
        <v>1</v>
      </c>
    </row>
    <row r="174" spans="1:8" ht="12.5" x14ac:dyDescent="0.25">
      <c r="A174" s="30">
        <v>30</v>
      </c>
      <c r="B174" s="31" t="s">
        <v>186</v>
      </c>
      <c r="C174" s="32">
        <v>30</v>
      </c>
      <c r="D174" s="30" t="s">
        <v>229</v>
      </c>
      <c r="E174" s="31" t="s">
        <v>8</v>
      </c>
      <c r="F174" s="30" t="s">
        <v>187</v>
      </c>
      <c r="G174" s="29" t="str">
        <f>IF(Consulta!$B$1="", "", IF(OR(IFERROR(SEARCH(Consulta!$B$1,B174),0)&gt;0,IFERROR(SEARCH(Consulta!$B$1,E174),0)&gt;0,IFERROR(SEARCH(Consulta!$B$1,F174),0)&gt;0), MAX($G$1:G173)+1, ""))</f>
        <v/>
      </c>
      <c r="H174" s="21" t="b">
        <f>A174=C174</f>
        <v>1</v>
      </c>
    </row>
    <row r="175" spans="1:8" ht="12.5" x14ac:dyDescent="0.25">
      <c r="A175" s="30">
        <v>30</v>
      </c>
      <c r="B175" s="31" t="s">
        <v>184</v>
      </c>
      <c r="C175" s="32">
        <v>30</v>
      </c>
      <c r="D175" s="30" t="s">
        <v>228</v>
      </c>
      <c r="E175" s="31" t="s">
        <v>81</v>
      </c>
      <c r="F175" s="30" t="s">
        <v>185</v>
      </c>
      <c r="G175" s="29" t="str">
        <f>IF(Consulta!$B$1="", "", IF(OR(IFERROR(SEARCH(Consulta!$B$1,B175),0)&gt;0,IFERROR(SEARCH(Consulta!$B$1,E175),0)&gt;0,IFERROR(SEARCH(Consulta!$B$1,F175),0)&gt;0), MAX($G$1:G174)+1, ""))</f>
        <v/>
      </c>
      <c r="H175" s="21" t="b">
        <f>A175=C175</f>
        <v>1</v>
      </c>
    </row>
    <row r="176" spans="1:8" ht="12.5" x14ac:dyDescent="0.25">
      <c r="A176" s="26">
        <v>30</v>
      </c>
      <c r="B176" s="27" t="s">
        <v>375</v>
      </c>
      <c r="C176" s="28">
        <v>30</v>
      </c>
      <c r="D176" s="26">
        <v>5</v>
      </c>
      <c r="E176" s="27" t="s">
        <v>376</v>
      </c>
      <c r="F176" s="26" t="s">
        <v>25</v>
      </c>
      <c r="G176" s="29" t="str">
        <f>IF(Consulta!$B$1="", "", IF(OR(IFERROR(SEARCH(Consulta!$B$1,B176),0)&gt;0,IFERROR(SEARCH(Consulta!$B$1,E176),0)&gt;0,IFERROR(SEARCH(Consulta!$B$1,F176),0)&gt;0), MAX($G$1:G175)+1, ""))</f>
        <v/>
      </c>
      <c r="H176" s="21" t="b">
        <f>A176=C176</f>
        <v>1</v>
      </c>
    </row>
    <row r="177" spans="1:8" ht="12.5" x14ac:dyDescent="0.25">
      <c r="A177" s="30">
        <v>30</v>
      </c>
      <c r="B177" s="31" t="s">
        <v>402</v>
      </c>
      <c r="C177" s="32">
        <v>30</v>
      </c>
      <c r="D177" s="30">
        <v>5.5</v>
      </c>
      <c r="E177" s="31" t="s">
        <v>131</v>
      </c>
      <c r="F177" s="30" t="s">
        <v>403</v>
      </c>
      <c r="G177" s="29" t="str">
        <f>IF(Consulta!$B$1="", "", IF(OR(IFERROR(SEARCH(Consulta!$B$1,B177),0)&gt;0,IFERROR(SEARCH(Consulta!$B$1,E177),0)&gt;0,IFERROR(SEARCH(Consulta!$B$1,F177),0)&gt;0), MAX($G$1:G175)+1, ""))</f>
        <v/>
      </c>
      <c r="H177" s="21" t="b">
        <f>A177=C177</f>
        <v>1</v>
      </c>
    </row>
    <row r="178" spans="1:8" ht="12.5" x14ac:dyDescent="0.25">
      <c r="A178" s="30">
        <v>30</v>
      </c>
      <c r="B178" s="31" t="s">
        <v>182</v>
      </c>
      <c r="C178" s="32">
        <v>30</v>
      </c>
      <c r="D178" s="30" t="s">
        <v>239</v>
      </c>
      <c r="E178" s="31" t="s">
        <v>131</v>
      </c>
      <c r="F178" s="30" t="s">
        <v>183</v>
      </c>
      <c r="G178" s="29" t="str">
        <f>IF(Consulta!$B$1="", "", IF(OR(IFERROR(SEARCH(Consulta!$B$1,B178),0)&gt;0,IFERROR(SEARCH(Consulta!$B$1,E178),0)&gt;0,IFERROR(SEARCH(Consulta!$B$1,F178),0)&gt;0), MAX($G$1:G177)+1, ""))</f>
        <v/>
      </c>
      <c r="H178" s="21" t="b">
        <f>A178=C178</f>
        <v>1</v>
      </c>
    </row>
    <row r="179" spans="1:8" ht="12.5" x14ac:dyDescent="0.25">
      <c r="A179" s="30">
        <v>30</v>
      </c>
      <c r="B179" s="31" t="s">
        <v>336</v>
      </c>
      <c r="C179" s="32">
        <v>30</v>
      </c>
      <c r="D179" s="30">
        <v>2.9</v>
      </c>
      <c r="E179" s="31" t="s">
        <v>81</v>
      </c>
      <c r="F179" s="30" t="s">
        <v>337</v>
      </c>
      <c r="G179" s="29" t="str">
        <f>IF(Consulta!$B$1="", "", IF(OR(IFERROR(SEARCH(Consulta!$B$1,B179),0)&gt;0,IFERROR(SEARCH(Consulta!$B$1,E179),0)&gt;0,IFERROR(SEARCH(Consulta!$B$1,F179),0)&gt;0), MAX($G$1:G178)+1, ""))</f>
        <v/>
      </c>
      <c r="H179" s="21" t="b">
        <f>A179=C179</f>
        <v>1</v>
      </c>
    </row>
    <row r="180" spans="1:8" ht="12.5" x14ac:dyDescent="0.25">
      <c r="A180" s="30">
        <v>30</v>
      </c>
      <c r="B180" s="31" t="s">
        <v>180</v>
      </c>
      <c r="C180" s="32">
        <v>30</v>
      </c>
      <c r="D180" s="30" t="s">
        <v>238</v>
      </c>
      <c r="E180" s="31" t="s">
        <v>131</v>
      </c>
      <c r="F180" s="30" t="s">
        <v>181</v>
      </c>
      <c r="G180" s="29" t="str">
        <f>IF(Consulta!$B$1="", "", IF(OR(IFERROR(SEARCH(Consulta!$B$1,B180),0)&gt;0,IFERROR(SEARCH(Consulta!$B$1,E180),0)&gt;0,IFERROR(SEARCH(Consulta!$B$1,F180),0)&gt;0), MAX($G$1:G178)+1, ""))</f>
        <v/>
      </c>
      <c r="H180" s="21" t="b">
        <f>A180=C180</f>
        <v>1</v>
      </c>
    </row>
    <row r="181" spans="1:8" ht="12.5" x14ac:dyDescent="0.25">
      <c r="A181" s="26">
        <v>40</v>
      </c>
      <c r="B181" s="27" t="s">
        <v>197</v>
      </c>
      <c r="C181" s="28">
        <v>40</v>
      </c>
      <c r="D181" s="26" t="s">
        <v>243</v>
      </c>
      <c r="E181" s="27" t="s">
        <v>198</v>
      </c>
      <c r="F181" s="26" t="s">
        <v>199</v>
      </c>
      <c r="G181" s="29" t="str">
        <f>IF(Consulta!$B$1="", "", IF(OR(IFERROR(SEARCH(Consulta!$B$1,B181),0)&gt;0,IFERROR(SEARCH(Consulta!$B$1,E181),0)&gt;0,IFERROR(SEARCH(Consulta!$B$1,F181),0)&gt;0), MAX($G$1:G178)+1, ""))</f>
        <v/>
      </c>
      <c r="H181" s="21" t="b">
        <f>A181=C181</f>
        <v>1</v>
      </c>
    </row>
    <row r="182" spans="1:8" ht="12.5" x14ac:dyDescent="0.25">
      <c r="A182" s="26">
        <v>40</v>
      </c>
      <c r="B182" s="27" t="s">
        <v>194</v>
      </c>
      <c r="C182" s="28">
        <v>40</v>
      </c>
      <c r="D182" s="26" t="s">
        <v>242</v>
      </c>
      <c r="E182" s="27" t="s">
        <v>195</v>
      </c>
      <c r="F182" s="26" t="s">
        <v>196</v>
      </c>
      <c r="G182" s="29" t="str">
        <f>IF(Consulta!$B$1="", "", IF(OR(IFERROR(SEARCH(Consulta!$B$1,B182),0)&gt;0,IFERROR(SEARCH(Consulta!$B$1,E182),0)&gt;0,IFERROR(SEARCH(Consulta!$B$1,F182),0)&gt;0), MAX($G$1:G181)+1, ""))</f>
        <v/>
      </c>
      <c r="H182" s="21" t="b">
        <f>A182=C182</f>
        <v>1</v>
      </c>
    </row>
    <row r="183" spans="1:8" ht="12.5" x14ac:dyDescent="0.25">
      <c r="A183" s="26">
        <v>40</v>
      </c>
      <c r="B183" s="27" t="s">
        <v>248</v>
      </c>
      <c r="C183" s="28">
        <v>40</v>
      </c>
      <c r="D183" s="26">
        <v>8.3000000000000007</v>
      </c>
      <c r="E183" s="27" t="s">
        <v>249</v>
      </c>
      <c r="F183" s="26" t="s">
        <v>250</v>
      </c>
      <c r="G183" s="29" t="str">
        <f>IF(Consulta!$B$1="", "", IF(OR(IFERROR(SEARCH(Consulta!$B$1,B183),0)&gt;0,IFERROR(SEARCH(Consulta!$B$1,E183),0)&gt;0,IFERROR(SEARCH(Consulta!$B$1,F183),0)&gt;0), MAX($G$1:G182)+1, ""))</f>
        <v/>
      </c>
      <c r="H183" s="21" t="b">
        <f>A183=C183</f>
        <v>1</v>
      </c>
    </row>
    <row r="184" spans="1:8" ht="12.5" x14ac:dyDescent="0.25">
      <c r="A184" s="26">
        <v>45</v>
      </c>
      <c r="B184" s="27" t="s">
        <v>293</v>
      </c>
      <c r="C184" s="28">
        <v>45</v>
      </c>
      <c r="D184" s="26">
        <v>10.199999999999999</v>
      </c>
      <c r="E184" s="27" t="s">
        <v>294</v>
      </c>
      <c r="F184" s="26" t="s">
        <v>295</v>
      </c>
      <c r="G184" s="29" t="str">
        <f>IF(Consulta!$B$1="", "", IF(OR(IFERROR(SEARCH(Consulta!$B$1,B184),0)&gt;0,IFERROR(SEARCH(Consulta!$B$1,E184),0)&gt;0,IFERROR(SEARCH(Consulta!$B$1,F184),0)&gt;0), MAX($G$1:G183)+1, ""))</f>
        <v/>
      </c>
      <c r="H184" s="21" t="b">
        <f>A184=C184</f>
        <v>1</v>
      </c>
    </row>
    <row r="185" spans="1:8" ht="12.5" x14ac:dyDescent="0.25">
      <c r="A185" s="1"/>
      <c r="C185" s="1"/>
      <c r="D185" s="1"/>
      <c r="F185" s="1"/>
    </row>
    <row r="186" spans="1:8" ht="12.5" x14ac:dyDescent="0.25">
      <c r="A186" s="1"/>
      <c r="C186" s="1"/>
      <c r="D186" s="1"/>
      <c r="F186" s="1"/>
    </row>
    <row r="187" spans="1:8" ht="12.5" x14ac:dyDescent="0.25">
      <c r="A187" s="1"/>
      <c r="C187" s="1"/>
      <c r="D187" s="1"/>
      <c r="F187" s="1"/>
    </row>
    <row r="188" spans="1:8" ht="12.5" x14ac:dyDescent="0.25">
      <c r="A188" s="1"/>
      <c r="C188" s="1"/>
      <c r="D188" s="1"/>
      <c r="F188" s="1"/>
    </row>
    <row r="189" spans="1:8" ht="12.5" x14ac:dyDescent="0.25">
      <c r="A189" s="1"/>
      <c r="C189" s="1"/>
      <c r="D189" s="1"/>
      <c r="F189" s="1"/>
    </row>
    <row r="190" spans="1:8" ht="12.5" x14ac:dyDescent="0.25">
      <c r="A190" s="1"/>
      <c r="C190" s="1"/>
      <c r="D190" s="1"/>
      <c r="F190" s="1"/>
    </row>
    <row r="191" spans="1:8" ht="12.5" x14ac:dyDescent="0.25">
      <c r="A191" s="1"/>
      <c r="C191" s="1"/>
      <c r="D191" s="1"/>
      <c r="F191" s="1"/>
    </row>
    <row r="192" spans="1:8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  <row r="1042" spans="1:6" ht="12.5" x14ac:dyDescent="0.25">
      <c r="A1042" s="1"/>
      <c r="C1042" s="1"/>
      <c r="D1042" s="1"/>
      <c r="F1042" s="1"/>
    </row>
    <row r="1043" spans="1:6" ht="12.5" x14ac:dyDescent="0.25">
      <c r="A1043" s="1"/>
      <c r="C1043" s="1"/>
      <c r="D1043" s="1"/>
      <c r="F1043" s="1"/>
    </row>
    <row r="1044" spans="1:6" ht="12.5" x14ac:dyDescent="0.25">
      <c r="A1044" s="1"/>
      <c r="C1044" s="1"/>
      <c r="D1044" s="1"/>
      <c r="F1044" s="1"/>
    </row>
    <row r="1045" spans="1:6" ht="12.5" x14ac:dyDescent="0.25">
      <c r="A1045" s="1"/>
      <c r="C1045" s="1"/>
      <c r="D1045" s="1"/>
      <c r="F1045" s="1"/>
    </row>
    <row r="1046" spans="1:6" ht="12.5" x14ac:dyDescent="0.25">
      <c r="A1046" s="1"/>
      <c r="C1046" s="1"/>
      <c r="D1046" s="1"/>
      <c r="F1046" s="1"/>
    </row>
    <row r="1047" spans="1:6" ht="12.5" x14ac:dyDescent="0.25">
      <c r="A1047" s="1"/>
      <c r="C1047" s="1"/>
      <c r="D1047" s="1"/>
      <c r="F1047" s="1"/>
    </row>
    <row r="1048" spans="1:6" ht="12.5" x14ac:dyDescent="0.25">
      <c r="A1048" s="1"/>
      <c r="C1048" s="1"/>
      <c r="D1048" s="1"/>
      <c r="F1048" s="1"/>
    </row>
    <row r="1049" spans="1:6" ht="12.5" x14ac:dyDescent="0.25">
      <c r="A1049" s="1"/>
      <c r="C1049" s="1"/>
      <c r="D1049" s="1"/>
      <c r="F1049" s="1"/>
    </row>
    <row r="1050" spans="1:6" ht="12.5" x14ac:dyDescent="0.25">
      <c r="A1050" s="1"/>
      <c r="C1050" s="1"/>
      <c r="D1050" s="1"/>
      <c r="F1050" s="1"/>
    </row>
    <row r="1051" spans="1:6" ht="12.5" x14ac:dyDescent="0.25">
      <c r="A1051" s="1"/>
      <c r="C1051" s="1"/>
      <c r="D1051" s="1"/>
      <c r="F1051" s="1"/>
    </row>
  </sheetData>
  <autoFilter ref="A1:H184">
    <sortState ref="A2:H184">
      <sortCondition ref="A2:A184"/>
      <sortCondition ref="B2:B184"/>
      <sortCondition ref="D2:D184"/>
    </sortState>
  </autoFilter>
  <sortState ref="A2:H174">
    <sortCondition ref="A2:A174"/>
    <sortCondition ref="B2:B174"/>
    <sortCondition ref="D2:D174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2026-10-28T16:17:00Z</dcterms:modified>
</cp:coreProperties>
</file>