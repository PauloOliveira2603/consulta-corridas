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43" i="1" l="1"/>
  <c r="G143" i="1"/>
  <c r="H95" i="1"/>
  <c r="H69" i="1"/>
  <c r="H70" i="1"/>
  <c r="H92" i="1"/>
  <c r="H51" i="1" l="1"/>
  <c r="H48" i="1"/>
  <c r="H47" i="1"/>
  <c r="H50" i="1"/>
  <c r="H44" i="1"/>
  <c r="H78" i="1"/>
  <c r="G78" i="1"/>
  <c r="H135" i="1"/>
  <c r="G135" i="1"/>
  <c r="H37" i="1"/>
  <c r="G37" i="1"/>
  <c r="G148" i="1"/>
  <c r="H148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61" i="1"/>
  <c r="H61" i="1"/>
  <c r="G62" i="1"/>
  <c r="H62" i="1"/>
  <c r="G63" i="1"/>
  <c r="H63" i="1"/>
  <c r="G65" i="1"/>
  <c r="H65" i="1"/>
  <c r="G66" i="1"/>
  <c r="H66" i="1"/>
  <c r="G67" i="1"/>
  <c r="H67" i="1"/>
  <c r="G68" i="1"/>
  <c r="H68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3" i="1"/>
  <c r="H93" i="1"/>
  <c r="G94" i="1"/>
  <c r="H94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24" i="1"/>
  <c r="H124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4" i="1"/>
  <c r="H144" i="1"/>
  <c r="G145" i="1"/>
  <c r="H145" i="1"/>
  <c r="G146" i="1"/>
  <c r="H146" i="1"/>
  <c r="G147" i="1"/>
  <c r="H14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<sst xmlns="http://schemas.openxmlformats.org/spreadsheetml/2006/main" count="577" uniqueCount="341">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</sst>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5"/>
  <sheetViews>
    <sheetView tabSelected="1" workbookViewId="0">
      <selection activeCell="F149" sqref="F149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202</v>
      </c>
    </row>
    <row r="2" spans="1:8" ht="12.5" x14ac:dyDescent="0.25">
      <c r="A2" s="32">
        <v>13</v>
      </c>
      <c r="B2" s="33" t="s">
        <v>275</v>
      </c>
      <c r="C2" s="34">
        <v>13</v>
      </c>
      <c r="D2" s="32" t="s">
        <v>22</v>
      </c>
      <c r="E2" s="33" t="s">
        <v>272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277</v>
      </c>
      <c r="C4" s="34">
        <v>13</v>
      </c>
      <c r="D4" s="32" t="s">
        <v>22</v>
      </c>
      <c r="E4" s="33" t="s">
        <v>272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278</v>
      </c>
      <c r="C5" s="34">
        <v>13</v>
      </c>
      <c r="D5" s="32" t="s">
        <v>22</v>
      </c>
      <c r="E5" s="33" t="s">
        <v>272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276</v>
      </c>
      <c r="C7" s="34">
        <v>13</v>
      </c>
      <c r="D7" s="32" t="s">
        <v>22</v>
      </c>
      <c r="E7" s="33" t="s">
        <v>272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281</v>
      </c>
      <c r="C8" s="34">
        <v>13</v>
      </c>
      <c r="D8" s="32" t="s">
        <v>22</v>
      </c>
      <c r="E8" s="33" t="s">
        <v>272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271</v>
      </c>
      <c r="C10" s="34">
        <v>13</v>
      </c>
      <c r="D10" s="32" t="s">
        <v>22</v>
      </c>
      <c r="E10" s="33" t="s">
        <v>272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208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274</v>
      </c>
      <c r="C12" s="34">
        <v>13</v>
      </c>
      <c r="D12" s="32" t="s">
        <v>22</v>
      </c>
      <c r="E12" s="33" t="s">
        <v>272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273</v>
      </c>
      <c r="C14" s="34">
        <v>13</v>
      </c>
      <c r="D14" s="32" t="s">
        <v>22</v>
      </c>
      <c r="E14" s="33" t="s">
        <v>272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212</v>
      </c>
      <c r="E18" s="27" t="s">
        <v>307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211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207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221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208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268</v>
      </c>
      <c r="C23" s="28">
        <v>15</v>
      </c>
      <c r="D23" s="26" t="s">
        <v>208</v>
      </c>
      <c r="E23" s="27" t="s">
        <v>269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261</v>
      </c>
      <c r="C24" s="28">
        <v>15</v>
      </c>
      <c r="D24" s="26" t="s">
        <v>7</v>
      </c>
      <c r="E24" s="27" t="s">
        <v>8</v>
      </c>
      <c r="F24" s="26" t="s">
        <v>263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225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270</v>
      </c>
      <c r="C26" s="28">
        <v>15</v>
      </c>
      <c r="D26" s="26" t="s">
        <v>207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308</v>
      </c>
      <c r="C27" s="28">
        <v>15</v>
      </c>
      <c r="D27" s="26">
        <v>2.1</v>
      </c>
      <c r="E27" s="27" t="s">
        <v>297</v>
      </c>
      <c r="F27" s="26" t="s">
        <v>309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206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279</v>
      </c>
      <c r="C29" s="28">
        <v>15</v>
      </c>
      <c r="D29" s="26" t="s">
        <v>212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262</v>
      </c>
      <c r="C30" s="28">
        <v>15</v>
      </c>
      <c r="D30" s="26" t="s">
        <v>22</v>
      </c>
      <c r="E30" s="27" t="s">
        <v>8</v>
      </c>
      <c r="F30" s="26" t="s">
        <v>264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294</v>
      </c>
      <c r="C31" s="28">
        <v>15</v>
      </c>
      <c r="D31" s="26">
        <v>2.2000000000000002</v>
      </c>
      <c r="E31" s="27" t="s">
        <v>8</v>
      </c>
      <c r="F31" s="26" t="s">
        <v>295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215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235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227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208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214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310</v>
      </c>
      <c r="C37" s="28">
        <v>15</v>
      </c>
      <c r="D37" s="26">
        <v>2.2000000000000002</v>
      </c>
      <c r="E37" s="27" t="s">
        <v>8</v>
      </c>
      <c r="F37" s="26" t="s">
        <v>295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246</v>
      </c>
      <c r="C38" s="28">
        <v>15</v>
      </c>
      <c r="D38" s="26">
        <v>2.1</v>
      </c>
      <c r="E38" s="27" t="s">
        <v>247</v>
      </c>
      <c r="F38" s="26" t="s">
        <v>204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213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212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282</v>
      </c>
      <c r="C41" s="28">
        <v>15</v>
      </c>
      <c r="D41" s="26" t="s">
        <v>211</v>
      </c>
      <c r="E41" s="27" t="s">
        <v>269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216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283</v>
      </c>
      <c r="C43" s="37">
        <v>17</v>
      </c>
      <c r="D43" s="35" t="s">
        <v>224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315</v>
      </c>
      <c r="C44" s="28">
        <v>17</v>
      </c>
      <c r="D44" s="26">
        <v>1.7</v>
      </c>
      <c r="E44" s="27" t="s">
        <v>61</v>
      </c>
      <c r="F44" s="26" t="s">
        <v>321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217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218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317</v>
      </c>
      <c r="C47" s="28">
        <v>17</v>
      </c>
      <c r="D47" s="26">
        <v>3</v>
      </c>
      <c r="E47" s="27" t="s">
        <v>61</v>
      </c>
      <c r="F47" s="26" t="s">
        <v>323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318</v>
      </c>
      <c r="C48" s="28">
        <v>17</v>
      </c>
      <c r="D48" s="26">
        <v>1.9</v>
      </c>
      <c r="E48" s="27" t="s">
        <v>61</v>
      </c>
      <c r="F48" s="26" t="s">
        <v>324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291</v>
      </c>
      <c r="C49" s="40">
        <v>17</v>
      </c>
      <c r="D49" s="38" t="s">
        <v>221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316</v>
      </c>
      <c r="C50" s="28">
        <v>17</v>
      </c>
      <c r="D50" s="26">
        <v>2.5</v>
      </c>
      <c r="E50" s="27" t="s">
        <v>61</v>
      </c>
      <c r="F50" s="26" t="s">
        <v>322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319</v>
      </c>
      <c r="C51" s="28">
        <v>17</v>
      </c>
      <c r="D51" s="26">
        <v>2</v>
      </c>
      <c r="E51" s="27" t="s">
        <v>61</v>
      </c>
      <c r="F51" s="26" t="s">
        <v>325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222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305</v>
      </c>
      <c r="C53" s="40">
        <v>17</v>
      </c>
      <c r="D53" s="38" t="s">
        <v>231</v>
      </c>
      <c r="E53" s="39" t="s">
        <v>306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209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213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221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219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329</v>
      </c>
      <c r="C58" s="37">
        <v>17</v>
      </c>
      <c r="D58" s="35">
        <v>1.9</v>
      </c>
      <c r="E58" s="36" t="s">
        <v>61</v>
      </c>
      <c r="F58" s="35" t="s">
        <v>331</v>
      </c>
      <c r="G58" s="29" t="s">
        <v>328</v>
      </c>
      <c r="H58" s="21" t="b">
        <v>1</v>
      </c>
    </row>
    <row r="59" spans="1:8" ht="12.5" x14ac:dyDescent="0.25">
      <c r="A59" s="35">
        <v>17</v>
      </c>
      <c r="B59" s="36" t="s">
        <v>327</v>
      </c>
      <c r="C59" s="37">
        <v>17</v>
      </c>
      <c r="D59" s="35">
        <v>1.9</v>
      </c>
      <c r="E59" s="36" t="s">
        <v>61</v>
      </c>
      <c r="F59" s="35" t="s">
        <v>331</v>
      </c>
      <c r="G59" s="29" t="s">
        <v>328</v>
      </c>
      <c r="H59" s="21" t="b">
        <v>1</v>
      </c>
    </row>
    <row r="60" spans="1:8" ht="12.5" x14ac:dyDescent="0.25">
      <c r="A60" s="35">
        <v>17</v>
      </c>
      <c r="B60" s="36" t="s">
        <v>330</v>
      </c>
      <c r="C60" s="37">
        <v>17</v>
      </c>
      <c r="D60" s="35">
        <v>1.9</v>
      </c>
      <c r="E60" s="36" t="s">
        <v>61</v>
      </c>
      <c r="F60" s="35" t="s">
        <v>331</v>
      </c>
      <c r="G60" s="29" t="s">
        <v>328</v>
      </c>
      <c r="H60" s="21" t="b">
        <v>1</v>
      </c>
    </row>
    <row r="61" spans="1:8" ht="12.5" x14ac:dyDescent="0.25">
      <c r="A61" s="35">
        <v>17</v>
      </c>
      <c r="B61" s="36" t="s">
        <v>37</v>
      </c>
      <c r="C61" s="37">
        <v>17</v>
      </c>
      <c r="D61" s="35" t="s">
        <v>216</v>
      </c>
      <c r="E61" s="36" t="s">
        <v>8</v>
      </c>
      <c r="F61" s="35" t="s">
        <v>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8">
        <v>17</v>
      </c>
      <c r="B62" s="39" t="s">
        <v>85</v>
      </c>
      <c r="C62" s="40">
        <v>17</v>
      </c>
      <c r="D62" s="38" t="s">
        <v>221</v>
      </c>
      <c r="E62" s="39" t="s">
        <v>8</v>
      </c>
      <c r="F62" s="38" t="s">
        <v>86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5">
        <v>17</v>
      </c>
      <c r="B63" s="36" t="s">
        <v>32</v>
      </c>
      <c r="C63" s="37">
        <v>17</v>
      </c>
      <c r="D63" s="35" t="s">
        <v>210</v>
      </c>
      <c r="E63" s="36" t="s">
        <v>8</v>
      </c>
      <c r="F63" s="35" t="s">
        <v>33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5">
        <v>17</v>
      </c>
      <c r="B64" s="36" t="s">
        <v>30</v>
      </c>
      <c r="C64" s="37">
        <v>17</v>
      </c>
      <c r="D64" s="35" t="s">
        <v>209</v>
      </c>
      <c r="E64" s="36" t="s">
        <v>8</v>
      </c>
      <c r="F64" s="35" t="s">
        <v>31</v>
      </c>
      <c r="G64" s="29" t="s">
        <v>328</v>
      </c>
      <c r="H64" s="21" t="b">
        <v>1</v>
      </c>
    </row>
    <row r="65" spans="1:8" ht="12.5" x14ac:dyDescent="0.25">
      <c r="A65" s="32">
        <v>20</v>
      </c>
      <c r="B65" s="33" t="s">
        <v>148</v>
      </c>
      <c r="C65" s="34">
        <v>20</v>
      </c>
      <c r="D65" s="32" t="s">
        <v>208</v>
      </c>
      <c r="E65" s="33" t="s">
        <v>8</v>
      </c>
      <c r="F65" s="32" t="s">
        <v>149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146</v>
      </c>
      <c r="C66" s="34">
        <v>20</v>
      </c>
      <c r="D66" s="32" t="s">
        <v>211</v>
      </c>
      <c r="E66" s="33" t="s">
        <v>8</v>
      </c>
      <c r="F66" s="32" t="s">
        <v>147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144</v>
      </c>
      <c r="C67" s="34">
        <v>20</v>
      </c>
      <c r="D67" s="32" t="s">
        <v>213</v>
      </c>
      <c r="E67" s="33" t="s">
        <v>8</v>
      </c>
      <c r="F67" s="32" t="s">
        <v>145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142</v>
      </c>
      <c r="C68" s="34">
        <v>20</v>
      </c>
      <c r="D68" s="32" t="s">
        <v>218</v>
      </c>
      <c r="E68" s="33" t="s">
        <v>307</v>
      </c>
      <c r="F68" s="32" t="s">
        <v>143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8">
        <v>20</v>
      </c>
      <c r="B69" s="39" t="s">
        <v>335</v>
      </c>
      <c r="C69" s="40">
        <v>20</v>
      </c>
      <c r="D69" s="38">
        <v>3.4</v>
      </c>
      <c r="E69" s="39" t="s">
        <v>338</v>
      </c>
      <c r="F69" s="38" t="s">
        <v>336</v>
      </c>
      <c r="G69" s="29"/>
      <c r="H69" s="21" t="b">
        <f>A69=C69</f>
        <v>1</v>
      </c>
    </row>
    <row r="70" spans="1:8" ht="12.5" x14ac:dyDescent="0.25">
      <c r="A70" s="38">
        <v>20</v>
      </c>
      <c r="B70" s="39" t="s">
        <v>333</v>
      </c>
      <c r="C70" s="40">
        <v>20</v>
      </c>
      <c r="D70" s="38">
        <v>3.3</v>
      </c>
      <c r="E70" s="39" t="s">
        <v>338</v>
      </c>
      <c r="F70" s="38" t="s">
        <v>334</v>
      </c>
      <c r="G70" s="29"/>
      <c r="H70" s="21" t="b">
        <f>A70=C70</f>
        <v>1</v>
      </c>
    </row>
    <row r="71" spans="1:8" ht="12.5" x14ac:dyDescent="0.25">
      <c r="A71" s="32">
        <v>20</v>
      </c>
      <c r="B71" s="33" t="s">
        <v>140</v>
      </c>
      <c r="C71" s="34">
        <v>20</v>
      </c>
      <c r="D71" s="32" t="s">
        <v>225</v>
      </c>
      <c r="E71" s="33" t="s">
        <v>8</v>
      </c>
      <c r="F71" s="32" t="s">
        <v>141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257</v>
      </c>
      <c r="C72" s="34">
        <v>20</v>
      </c>
      <c r="D72" s="32" t="s">
        <v>227</v>
      </c>
      <c r="E72" s="33" t="s">
        <v>8</v>
      </c>
      <c r="F72" s="32" t="s">
        <v>258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256</v>
      </c>
      <c r="C73" s="34">
        <v>20</v>
      </c>
      <c r="D73" s="32">
        <v>4.2</v>
      </c>
      <c r="E73" s="33" t="s">
        <v>307</v>
      </c>
      <c r="F73" s="32">
        <v>21765430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138</v>
      </c>
      <c r="C74" s="34">
        <v>20</v>
      </c>
      <c r="D74" s="32" t="s">
        <v>212</v>
      </c>
      <c r="E74" s="33" t="s">
        <v>8</v>
      </c>
      <c r="F74" s="32" t="s">
        <v>139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267</v>
      </c>
      <c r="C75" s="34">
        <v>20</v>
      </c>
      <c r="D75" s="32" t="s">
        <v>224</v>
      </c>
      <c r="E75" s="33" t="s">
        <v>8</v>
      </c>
      <c r="F75" s="32" t="s">
        <v>137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135</v>
      </c>
      <c r="C76" s="34">
        <v>20</v>
      </c>
      <c r="D76" s="32" t="s">
        <v>221</v>
      </c>
      <c r="E76" s="33" t="s">
        <v>307</v>
      </c>
      <c r="F76" s="32" t="s">
        <v>136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132</v>
      </c>
      <c r="C77" s="34">
        <v>20</v>
      </c>
      <c r="D77" s="32" t="s">
        <v>216</v>
      </c>
      <c r="E77" s="33" t="s">
        <v>133</v>
      </c>
      <c r="F77" s="32" t="s">
        <v>134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20</v>
      </c>
      <c r="B78" s="27" t="s">
        <v>314</v>
      </c>
      <c r="C78" s="28">
        <v>20</v>
      </c>
      <c r="D78" s="26">
        <v>2.2000000000000002</v>
      </c>
      <c r="E78" s="27" t="s">
        <v>61</v>
      </c>
      <c r="F78" s="26" t="s">
        <v>320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130</v>
      </c>
      <c r="C79" s="34">
        <v>20</v>
      </c>
      <c r="D79" s="32" t="s">
        <v>222</v>
      </c>
      <c r="E79" s="33" t="s">
        <v>8</v>
      </c>
      <c r="F79" s="32" t="s">
        <v>131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128</v>
      </c>
      <c r="C80" s="34">
        <v>20</v>
      </c>
      <c r="D80" s="32" t="s">
        <v>236</v>
      </c>
      <c r="E80" s="33" t="s">
        <v>307</v>
      </c>
      <c r="F80" s="32" t="s">
        <v>129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126</v>
      </c>
      <c r="C81" s="34">
        <v>20</v>
      </c>
      <c r="D81" s="32" t="s">
        <v>232</v>
      </c>
      <c r="E81" s="33" t="s">
        <v>8</v>
      </c>
      <c r="F81" s="32" t="s">
        <v>127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124</v>
      </c>
      <c r="C82" s="34">
        <v>20</v>
      </c>
      <c r="D82" s="32" t="s">
        <v>217</v>
      </c>
      <c r="E82" s="33" t="s">
        <v>8</v>
      </c>
      <c r="F82" s="32" t="s">
        <v>125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122</v>
      </c>
      <c r="C83" s="34">
        <v>20</v>
      </c>
      <c r="D83" s="32" t="s">
        <v>225</v>
      </c>
      <c r="E83" s="33" t="s">
        <v>307</v>
      </c>
      <c r="F83" s="32" t="s">
        <v>123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259</v>
      </c>
      <c r="C84" s="34">
        <v>20</v>
      </c>
      <c r="D84" s="32" t="s">
        <v>227</v>
      </c>
      <c r="E84" s="33" t="s">
        <v>8</v>
      </c>
      <c r="F84" s="32" t="s">
        <v>260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120</v>
      </c>
      <c r="C85" s="34">
        <v>20</v>
      </c>
      <c r="D85" s="32" t="s">
        <v>229</v>
      </c>
      <c r="E85" s="33" t="s">
        <v>8</v>
      </c>
      <c r="F85" s="32" t="s">
        <v>121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118</v>
      </c>
      <c r="C86" s="34">
        <v>20</v>
      </c>
      <c r="D86" s="32" t="s">
        <v>210</v>
      </c>
      <c r="E86" s="33" t="s">
        <v>8</v>
      </c>
      <c r="F86" s="32" t="s">
        <v>119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116</v>
      </c>
      <c r="C87" s="34">
        <v>20</v>
      </c>
      <c r="D87" s="32" t="s">
        <v>214</v>
      </c>
      <c r="E87" s="33" t="s">
        <v>8</v>
      </c>
      <c r="F87" s="32" t="s">
        <v>117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299</v>
      </c>
      <c r="C88" s="28">
        <v>20</v>
      </c>
      <c r="D88" s="26">
        <v>2.4</v>
      </c>
      <c r="E88" s="27" t="s">
        <v>301</v>
      </c>
      <c r="F88" s="26" t="s">
        <v>300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114</v>
      </c>
      <c r="C89" s="34">
        <v>20</v>
      </c>
      <c r="D89" s="32" t="s">
        <v>221</v>
      </c>
      <c r="E89" s="33" t="s">
        <v>8</v>
      </c>
      <c r="F89" s="32" t="s">
        <v>115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112</v>
      </c>
      <c r="C90" s="34">
        <v>20</v>
      </c>
      <c r="D90" s="32" t="s">
        <v>224</v>
      </c>
      <c r="E90" s="33" t="s">
        <v>301</v>
      </c>
      <c r="F90" s="32" t="s">
        <v>113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110</v>
      </c>
      <c r="C91" s="34">
        <v>20</v>
      </c>
      <c r="D91" s="32" t="s">
        <v>220</v>
      </c>
      <c r="E91" s="33" t="s">
        <v>8</v>
      </c>
      <c r="F91" s="32" t="s">
        <v>111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8">
        <v>20</v>
      </c>
      <c r="B92" s="39" t="s">
        <v>332</v>
      </c>
      <c r="C92" s="40">
        <v>20</v>
      </c>
      <c r="D92" s="38">
        <v>3</v>
      </c>
      <c r="E92" s="39" t="s">
        <v>306</v>
      </c>
      <c r="F92" s="38" t="s">
        <v>107</v>
      </c>
      <c r="G92" s="29"/>
      <c r="H92" s="21" t="b">
        <f>A92=C92</f>
        <v>1</v>
      </c>
    </row>
    <row r="93" spans="1:8" ht="12.5" x14ac:dyDescent="0.25">
      <c r="A93" s="26">
        <v>20</v>
      </c>
      <c r="B93" s="27" t="s">
        <v>304</v>
      </c>
      <c r="C93" s="28">
        <v>20</v>
      </c>
      <c r="D93" s="26">
        <v>2.4</v>
      </c>
      <c r="E93" s="27" t="s">
        <v>301</v>
      </c>
      <c r="F93" s="26" t="s">
        <v>303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105</v>
      </c>
      <c r="C94" s="34">
        <v>20</v>
      </c>
      <c r="D94" s="32" t="s">
        <v>216</v>
      </c>
      <c r="E94" s="33" t="s">
        <v>61</v>
      </c>
      <c r="F94" s="32" t="s">
        <v>106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8">
        <v>20</v>
      </c>
      <c r="B95" s="39" t="s">
        <v>337</v>
      </c>
      <c r="C95" s="40">
        <v>20</v>
      </c>
      <c r="D95" s="38">
        <v>3.2</v>
      </c>
      <c r="E95" s="39" t="s">
        <v>338</v>
      </c>
      <c r="F95" s="38" t="s">
        <v>334</v>
      </c>
      <c r="G95" s="29"/>
      <c r="H95" s="21" t="b">
        <f>A95=C95</f>
        <v>1</v>
      </c>
    </row>
    <row r="96" spans="1:8" ht="12.5" x14ac:dyDescent="0.25">
      <c r="A96" s="32">
        <v>20</v>
      </c>
      <c r="B96" s="33" t="s">
        <v>103</v>
      </c>
      <c r="C96" s="34">
        <v>20</v>
      </c>
      <c r="D96" s="32" t="s">
        <v>209</v>
      </c>
      <c r="E96" s="33" t="s">
        <v>8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265</v>
      </c>
      <c r="C97" s="34">
        <v>20</v>
      </c>
      <c r="D97" s="32">
        <v>6.2</v>
      </c>
      <c r="E97" s="33" t="s">
        <v>8</v>
      </c>
      <c r="F97" s="32" t="s">
        <v>266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101</v>
      </c>
      <c r="C98" s="34">
        <v>20</v>
      </c>
      <c r="D98" s="32" t="s">
        <v>217</v>
      </c>
      <c r="E98" s="33" t="s">
        <v>301</v>
      </c>
      <c r="F98" s="32" t="s">
        <v>102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302</v>
      </c>
      <c r="C99" s="28">
        <v>20</v>
      </c>
      <c r="D99" s="26">
        <v>2.4</v>
      </c>
      <c r="E99" s="27" t="s">
        <v>301</v>
      </c>
      <c r="F99" s="26" t="s">
        <v>303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97</v>
      </c>
      <c r="C100" s="34">
        <v>20</v>
      </c>
      <c r="D100" s="32" t="s">
        <v>218</v>
      </c>
      <c r="E100" s="33" t="s">
        <v>8</v>
      </c>
      <c r="F100" s="32" t="s">
        <v>98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93</v>
      </c>
      <c r="C101" s="34">
        <v>20</v>
      </c>
      <c r="D101" s="32" t="s">
        <v>220</v>
      </c>
      <c r="E101" s="33" t="s">
        <v>8</v>
      </c>
      <c r="F101" s="32" t="s">
        <v>94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20</v>
      </c>
      <c r="B102" s="33" t="s">
        <v>91</v>
      </c>
      <c r="C102" s="34">
        <v>20</v>
      </c>
      <c r="D102" s="32" t="s">
        <v>225</v>
      </c>
      <c r="E102" s="33" t="s">
        <v>8</v>
      </c>
      <c r="F102" s="32" t="s">
        <v>92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2">
        <v>20</v>
      </c>
      <c r="B103" s="33" t="s">
        <v>292</v>
      </c>
      <c r="C103" s="34">
        <v>20</v>
      </c>
      <c r="D103" s="32">
        <v>1.8</v>
      </c>
      <c r="E103" s="33" t="s">
        <v>293</v>
      </c>
      <c r="F103" s="32" t="s">
        <v>92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20</v>
      </c>
      <c r="B104" s="33" t="s">
        <v>89</v>
      </c>
      <c r="C104" s="34">
        <v>20</v>
      </c>
      <c r="D104" s="32" t="s">
        <v>224</v>
      </c>
      <c r="E104" s="33" t="s">
        <v>8</v>
      </c>
      <c r="F104" s="32" t="s">
        <v>90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2">
        <v>20</v>
      </c>
      <c r="B105" s="33" t="s">
        <v>87</v>
      </c>
      <c r="C105" s="34">
        <v>20</v>
      </c>
      <c r="D105" s="32" t="s">
        <v>222</v>
      </c>
      <c r="E105" s="33" t="s">
        <v>8</v>
      </c>
      <c r="F105" s="32" t="s">
        <v>88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2">
        <v>20</v>
      </c>
      <c r="B106" s="33" t="s">
        <v>82</v>
      </c>
      <c r="C106" s="34">
        <v>20</v>
      </c>
      <c r="D106" s="32" t="s">
        <v>220</v>
      </c>
      <c r="E106" s="33" t="s">
        <v>83</v>
      </c>
      <c r="F106" s="32" t="s">
        <v>84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20</v>
      </c>
      <c r="B107" s="33" t="s">
        <v>80</v>
      </c>
      <c r="C107" s="34">
        <v>20</v>
      </c>
      <c r="D107" s="32" t="s">
        <v>219</v>
      </c>
      <c r="E107" s="33" t="s">
        <v>8</v>
      </c>
      <c r="F107" s="32" t="s">
        <v>81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20</v>
      </c>
      <c r="B108" s="33" t="s">
        <v>78</v>
      </c>
      <c r="C108" s="34">
        <v>20</v>
      </c>
      <c r="D108" s="32" t="s">
        <v>218</v>
      </c>
      <c r="E108" s="33" t="s">
        <v>8</v>
      </c>
      <c r="F108" s="32" t="s">
        <v>79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180</v>
      </c>
      <c r="C109" s="28">
        <v>25</v>
      </c>
      <c r="D109" s="26" t="s">
        <v>227</v>
      </c>
      <c r="E109" s="27" t="s">
        <v>8</v>
      </c>
      <c r="F109" s="26" t="s">
        <v>181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178</v>
      </c>
      <c r="C110" s="28">
        <v>25</v>
      </c>
      <c r="D110" s="26" t="s">
        <v>239</v>
      </c>
      <c r="E110" s="27" t="s">
        <v>133</v>
      </c>
      <c r="F110" s="26" t="s">
        <v>179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176</v>
      </c>
      <c r="C111" s="28">
        <v>25</v>
      </c>
      <c r="D111" s="26" t="s">
        <v>233</v>
      </c>
      <c r="E111" s="27" t="s">
        <v>133</v>
      </c>
      <c r="F111" s="26" t="s">
        <v>177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175</v>
      </c>
      <c r="C112" s="28">
        <v>25</v>
      </c>
      <c r="D112" s="26" t="s">
        <v>226</v>
      </c>
      <c r="E112" s="27" t="s">
        <v>8</v>
      </c>
      <c r="F112" s="26" t="s">
        <v>326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174</v>
      </c>
      <c r="C113" s="28">
        <v>25</v>
      </c>
      <c r="D113" s="26">
        <v>2.7</v>
      </c>
      <c r="E113" s="27" t="s">
        <v>83</v>
      </c>
      <c r="F113" s="26" t="s">
        <v>340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25</v>
      </c>
      <c r="B114" s="33" t="s">
        <v>286</v>
      </c>
      <c r="C114" s="34">
        <v>25</v>
      </c>
      <c r="D114" s="32" t="s">
        <v>209</v>
      </c>
      <c r="E114" s="33" t="s">
        <v>285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284</v>
      </c>
      <c r="C115" s="34">
        <v>25</v>
      </c>
      <c r="D115" s="32" t="s">
        <v>209</v>
      </c>
      <c r="E115" s="33" t="s">
        <v>285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172</v>
      </c>
      <c r="C116" s="28">
        <v>25</v>
      </c>
      <c r="D116" s="26" t="s">
        <v>236</v>
      </c>
      <c r="E116" s="27" t="s">
        <v>133</v>
      </c>
      <c r="F116" s="26" t="s">
        <v>173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170</v>
      </c>
      <c r="C117" s="28">
        <v>25</v>
      </c>
      <c r="D117" s="26" t="s">
        <v>219</v>
      </c>
      <c r="E117" s="27" t="s">
        <v>8</v>
      </c>
      <c r="F117" s="26" t="s">
        <v>171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25</v>
      </c>
      <c r="B118" s="33" t="s">
        <v>280</v>
      </c>
      <c r="C118" s="34">
        <v>25</v>
      </c>
      <c r="D118" s="32" t="s">
        <v>209</v>
      </c>
      <c r="E118" s="33" t="s">
        <v>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168</v>
      </c>
      <c r="C119" s="28">
        <v>25</v>
      </c>
      <c r="D119" s="26" t="s">
        <v>223</v>
      </c>
      <c r="E119" s="27" t="s">
        <v>133</v>
      </c>
      <c r="F119" s="26" t="s">
        <v>169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166</v>
      </c>
      <c r="C120" s="28">
        <v>25</v>
      </c>
      <c r="D120" s="26" t="s">
        <v>231</v>
      </c>
      <c r="E120" s="27" t="s">
        <v>133</v>
      </c>
      <c r="F120" s="26" t="s">
        <v>167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164</v>
      </c>
      <c r="C121" s="28">
        <v>25</v>
      </c>
      <c r="D121" s="26" t="s">
        <v>234</v>
      </c>
      <c r="E121" s="27" t="s">
        <v>83</v>
      </c>
      <c r="F121" s="26" t="s">
        <v>165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162</v>
      </c>
      <c r="C122" s="28">
        <v>25</v>
      </c>
      <c r="D122" s="26" t="s">
        <v>238</v>
      </c>
      <c r="E122" s="27" t="s">
        <v>83</v>
      </c>
      <c r="F122" s="26" t="s">
        <v>163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160</v>
      </c>
      <c r="C123" s="28">
        <v>25</v>
      </c>
      <c r="D123" s="26" t="s">
        <v>230</v>
      </c>
      <c r="E123" s="27" t="s">
        <v>83</v>
      </c>
      <c r="F123" s="26" t="s">
        <v>161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312</v>
      </c>
      <c r="C124" s="28">
        <v>25</v>
      </c>
      <c r="D124" s="26">
        <v>3.9</v>
      </c>
      <c r="E124" s="27" t="s">
        <v>311</v>
      </c>
      <c r="F124" s="26" t="s">
        <v>313</v>
      </c>
      <c r="G124" s="29" t="str">
        <f>IF(Consulta!$B$1="", "", IF(OR(IFERROR(SEARCH(Consulta!$B$1,B124),0)&gt;0,IFERROR(SEARCH(Consulta!$B$1,E124),0)&gt;0,IFERROR(SEARCH(Consulta!$B$1,F124),0)&gt;0), MAX($G$1:G122)+1,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158</v>
      </c>
      <c r="C125" s="28">
        <v>25</v>
      </c>
      <c r="D125" s="26" t="s">
        <v>229</v>
      </c>
      <c r="E125" s="27" t="s">
        <v>83</v>
      </c>
      <c r="F125" s="26" t="s">
        <v>159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156</v>
      </c>
      <c r="C126" s="28">
        <v>25</v>
      </c>
      <c r="D126" s="26" t="s">
        <v>226</v>
      </c>
      <c r="E126" s="27" t="s">
        <v>8</v>
      </c>
      <c r="F126" s="26" t="s">
        <v>157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154</v>
      </c>
      <c r="C127" s="28">
        <v>25</v>
      </c>
      <c r="D127" s="26" t="s">
        <v>232</v>
      </c>
      <c r="E127" s="27" t="s">
        <v>133</v>
      </c>
      <c r="F127" s="26" t="s">
        <v>155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249</v>
      </c>
      <c r="C128" s="28">
        <v>25</v>
      </c>
      <c r="D128" s="41" t="s">
        <v>231</v>
      </c>
      <c r="E128" s="27" t="s">
        <v>8</v>
      </c>
      <c r="F128" s="26" t="s">
        <v>250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152</v>
      </c>
      <c r="C129" s="28">
        <v>25</v>
      </c>
      <c r="D129" s="26" t="s">
        <v>237</v>
      </c>
      <c r="E129" s="27" t="s">
        <v>133</v>
      </c>
      <c r="F129" s="26" t="s">
        <v>153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25</v>
      </c>
      <c r="B130" s="33" t="s">
        <v>290</v>
      </c>
      <c r="C130" s="34">
        <v>25</v>
      </c>
      <c r="D130" s="32" t="s">
        <v>209</v>
      </c>
      <c r="E130" s="33" t="s">
        <v>285</v>
      </c>
      <c r="F130" s="32" t="s">
        <v>104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2">
        <v>25</v>
      </c>
      <c r="B131" s="33" t="s">
        <v>288</v>
      </c>
      <c r="C131" s="34">
        <v>25</v>
      </c>
      <c r="D131" s="32" t="s">
        <v>209</v>
      </c>
      <c r="E131" s="33" t="s">
        <v>285</v>
      </c>
      <c r="F131" s="32" t="s">
        <v>104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2">
        <v>25</v>
      </c>
      <c r="B132" s="33" t="s">
        <v>289</v>
      </c>
      <c r="C132" s="34">
        <v>25</v>
      </c>
      <c r="D132" s="32" t="s">
        <v>209</v>
      </c>
      <c r="E132" s="33" t="s">
        <v>285</v>
      </c>
      <c r="F132" s="32" t="s">
        <v>104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254</v>
      </c>
      <c r="C133" s="28">
        <v>25</v>
      </c>
      <c r="D133" s="26">
        <v>2.5</v>
      </c>
      <c r="E133" s="27" t="s">
        <v>133</v>
      </c>
      <c r="F133" s="26" t="s">
        <v>255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25</v>
      </c>
      <c r="B134" s="33" t="s">
        <v>287</v>
      </c>
      <c r="C134" s="34">
        <v>25</v>
      </c>
      <c r="D134" s="32" t="s">
        <v>209</v>
      </c>
      <c r="E134" s="33" t="s">
        <v>285</v>
      </c>
      <c r="F134" s="32" t="s">
        <v>104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150</v>
      </c>
      <c r="C135" s="28">
        <v>25</v>
      </c>
      <c r="D135" s="26" t="s">
        <v>228</v>
      </c>
      <c r="E135" s="27" t="s">
        <v>83</v>
      </c>
      <c r="F135" s="26" t="s">
        <v>151</v>
      </c>
      <c r="G135" s="29" t="str">
        <f>IF(Consulta!$B$1="", "", IF(OR(IFERROR(SEARCH(Consulta!$B$1,B135),0)&gt;0,IFERROR(SEARCH(Consulta!$B$1,E135),0)&gt;0,IFERROR(SEARCH(Consulta!$B$1,F135),0)&gt;0), MAX($G$1:G133)+1,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194</v>
      </c>
      <c r="C136" s="34">
        <v>30</v>
      </c>
      <c r="D136" s="32" t="s">
        <v>234</v>
      </c>
      <c r="E136" s="33" t="s">
        <v>133</v>
      </c>
      <c r="F136" s="32" t="s">
        <v>195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2">
        <v>30</v>
      </c>
      <c r="B137" s="33" t="s">
        <v>193</v>
      </c>
      <c r="C137" s="34">
        <v>30</v>
      </c>
      <c r="D137" s="32" t="s">
        <v>243</v>
      </c>
      <c r="E137" s="33" t="s">
        <v>133</v>
      </c>
      <c r="F137" s="32" t="s">
        <v>192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2">
        <v>30</v>
      </c>
      <c r="B138" s="33" t="s">
        <v>191</v>
      </c>
      <c r="C138" s="34">
        <v>30</v>
      </c>
      <c r="D138" s="32" t="s">
        <v>242</v>
      </c>
      <c r="E138" s="33" t="s">
        <v>133</v>
      </c>
      <c r="F138" s="32" t="s">
        <v>192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2">
        <v>30</v>
      </c>
      <c r="B139" s="33" t="s">
        <v>248</v>
      </c>
      <c r="C139" s="34">
        <v>30</v>
      </c>
      <c r="D139" s="32" t="s">
        <v>219</v>
      </c>
      <c r="E139" s="33" t="s">
        <v>8</v>
      </c>
      <c r="F139" s="32" t="s">
        <v>190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32">
        <v>30</v>
      </c>
      <c r="B140" s="33" t="s">
        <v>188</v>
      </c>
      <c r="C140" s="34">
        <v>30</v>
      </c>
      <c r="D140" s="32" t="s">
        <v>231</v>
      </c>
      <c r="E140" s="33" t="s">
        <v>8</v>
      </c>
      <c r="F140" s="32" t="s">
        <v>189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2">
        <v>30</v>
      </c>
      <c r="B141" s="33" t="s">
        <v>186</v>
      </c>
      <c r="C141" s="34">
        <v>30</v>
      </c>
      <c r="D141" s="32" t="s">
        <v>230</v>
      </c>
      <c r="E141" s="33" t="s">
        <v>83</v>
      </c>
      <c r="F141" s="32" t="s">
        <v>187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2">
        <v>30</v>
      </c>
      <c r="B142" s="33" t="s">
        <v>184</v>
      </c>
      <c r="C142" s="34">
        <v>30</v>
      </c>
      <c r="D142" s="32" t="s">
        <v>241</v>
      </c>
      <c r="E142" s="33" t="s">
        <v>133</v>
      </c>
      <c r="F142" s="32" t="s">
        <v>185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2">
        <v>30</v>
      </c>
      <c r="B143" s="33" t="s">
        <v>339</v>
      </c>
      <c r="C143" s="34">
        <v>30</v>
      </c>
      <c r="D143" s="32">
        <v>2.9</v>
      </c>
      <c r="E143" s="33" t="s">
        <v>83</v>
      </c>
      <c r="F143" s="32" t="s">
        <v>340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2">
        <v>30</v>
      </c>
      <c r="B144" s="33" t="s">
        <v>182</v>
      </c>
      <c r="C144" s="34">
        <v>30</v>
      </c>
      <c r="D144" s="32" t="s">
        <v>240</v>
      </c>
      <c r="E144" s="33" t="s">
        <v>133</v>
      </c>
      <c r="F144" s="32" t="s">
        <v>183</v>
      </c>
      <c r="G144" s="29" t="str">
        <f>IF(Consulta!$B$1="", "", IF(OR(IFERROR(SEARCH(Consulta!$B$1,B144),0)&gt;0,IFERROR(SEARCH(Consulta!$B$1,E144),0)&gt;0,IFERROR(SEARCH(Consulta!$B$1,F144),0)&gt;0), MAX($G$1:G142)+1, ""))</f>
        <v/>
      </c>
      <c r="H144" s="21" t="b">
        <f>A144=C144</f>
        <v>1</v>
      </c>
    </row>
    <row r="145" spans="1:8" ht="12.5" x14ac:dyDescent="0.25">
      <c r="A145" s="26">
        <v>40</v>
      </c>
      <c r="B145" s="27" t="s">
        <v>199</v>
      </c>
      <c r="C145" s="28">
        <v>40</v>
      </c>
      <c r="D145" s="26" t="s">
        <v>245</v>
      </c>
      <c r="E145" s="27" t="s">
        <v>200</v>
      </c>
      <c r="F145" s="26" t="s">
        <v>201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40</v>
      </c>
      <c r="B146" s="27" t="s">
        <v>196</v>
      </c>
      <c r="C146" s="28">
        <v>40</v>
      </c>
      <c r="D146" s="26" t="s">
        <v>244</v>
      </c>
      <c r="E146" s="27" t="s">
        <v>197</v>
      </c>
      <c r="F146" s="26" t="s">
        <v>198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40</v>
      </c>
      <c r="B147" s="27" t="s">
        <v>251</v>
      </c>
      <c r="C147" s="28">
        <v>40</v>
      </c>
      <c r="D147" s="26">
        <v>8.3000000000000007</v>
      </c>
      <c r="E147" s="27" t="s">
        <v>252</v>
      </c>
      <c r="F147" s="26" t="s">
        <v>253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45</v>
      </c>
      <c r="B148" s="27" t="s">
        <v>296</v>
      </c>
      <c r="C148" s="28">
        <v>45</v>
      </c>
      <c r="D148" s="26">
        <v>10.199999999999999</v>
      </c>
      <c r="E148" s="27" t="s">
        <v>297</v>
      </c>
      <c r="F148" s="26" t="s">
        <v>298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/>
      <c r="B149" s="31"/>
      <c r="C149" s="30"/>
      <c r="D149" s="30"/>
      <c r="E149" s="31"/>
      <c r="F149" s="30"/>
      <c r="G149" s="31"/>
    </row>
    <row r="150" spans="1:8" ht="12.5" x14ac:dyDescent="0.25">
      <c r="A150" s="30"/>
      <c r="B150" s="31"/>
      <c r="C150" s="30"/>
      <c r="D150" s="30"/>
      <c r="E150" s="31"/>
      <c r="F150" s="30"/>
      <c r="G150" s="31"/>
    </row>
    <row r="151" spans="1:8" ht="12.5" x14ac:dyDescent="0.25">
      <c r="A151" s="1"/>
      <c r="C151" s="1"/>
      <c r="D151" s="1"/>
      <c r="F151" s="1"/>
    </row>
    <row r="152" spans="1:8" ht="12.5" x14ac:dyDescent="0.25">
      <c r="A152" s="1"/>
      <c r="C152" s="1"/>
      <c r="D152" s="1"/>
      <c r="F152" s="1"/>
    </row>
    <row r="153" spans="1:8" ht="12.5" x14ac:dyDescent="0.25">
      <c r="A153" s="1"/>
      <c r="C153" s="1"/>
      <c r="D153" s="1"/>
      <c r="F153" s="1"/>
    </row>
    <row r="154" spans="1:8" ht="12.5" x14ac:dyDescent="0.25">
      <c r="A154" s="1"/>
      <c r="C154" s="1"/>
      <c r="D154" s="1"/>
      <c r="F154" s="1"/>
    </row>
    <row r="155" spans="1:8" ht="12.5" x14ac:dyDescent="0.25">
      <c r="A155" s="1"/>
      <c r="C155" s="1"/>
      <c r="D155" s="1"/>
      <c r="F155" s="1"/>
    </row>
    <row r="156" spans="1:8" ht="12.5" x14ac:dyDescent="0.25">
      <c r="A156" s="1"/>
      <c r="C156" s="1"/>
      <c r="D156" s="1"/>
      <c r="F156" s="1"/>
    </row>
    <row r="157" spans="1:8" ht="12.5" x14ac:dyDescent="0.25">
      <c r="A157" s="1"/>
      <c r="C157" s="1"/>
      <c r="D157" s="1"/>
      <c r="F157" s="1"/>
    </row>
    <row r="158" spans="1:8" ht="12.5" x14ac:dyDescent="0.25">
      <c r="A158" s="1"/>
      <c r="C158" s="1"/>
      <c r="D158" s="1"/>
      <c r="F158" s="1"/>
    </row>
    <row r="159" spans="1:8" ht="12.5" x14ac:dyDescent="0.25">
      <c r="A159" s="1"/>
      <c r="C159" s="1"/>
      <c r="D159" s="1"/>
      <c r="F159" s="1"/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</sheetData>
  <autoFilter ref="A1:H148">
    <sortState ref="A2:H147">
      <sortCondition ref="A2:A147"/>
      <sortCondition ref="B2:B147"/>
      <sortCondition ref="D2:D147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203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205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2026-09-16T15:30:02Z</dcterms:modified>
</cp:coreProperties>
</file>